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MASTER_THEORY" sheetId="2" state="visible" r:id="rId2"/>
    <sheet xmlns:r="http://schemas.openxmlformats.org/officeDocument/2006/relationships" name="02_PRIMITIVES" sheetId="3" state="visible" r:id="rId3"/>
    <sheet xmlns:r="http://schemas.openxmlformats.org/officeDocument/2006/relationships" name="03_OPERATOR_ALGEBRA" sheetId="4" state="visible" r:id="rId4"/>
    <sheet xmlns:r="http://schemas.openxmlformats.org/officeDocument/2006/relationships" name="04_CALCULATED_EQUATIONS" sheetId="5" state="visible" r:id="rId5"/>
    <sheet xmlns:r="http://schemas.openxmlformats.org/officeDocument/2006/relationships" name="05_DER_CERTIFIED" sheetId="6" state="visible" r:id="rId6"/>
    <sheet xmlns:r="http://schemas.openxmlformats.org/officeDocument/2006/relationships" name="06_THEOREMS_CERTIFIED" sheetId="7" state="visible" r:id="rId7"/>
    <sheet xmlns:r="http://schemas.openxmlformats.org/officeDocument/2006/relationships" name="07_PROOFS_COMPLETED" sheetId="8" state="visible" r:id="rId8"/>
    <sheet xmlns:r="http://schemas.openxmlformats.org/officeDocument/2006/relationships" name="08_VARIABLES" sheetId="9" state="visible" r:id="rId9"/>
    <sheet xmlns:r="http://schemas.openxmlformats.org/officeDocument/2006/relationships" name="09_CONSTANTS_REGISTERED" sheetId="10" state="visible" r:id="rId10"/>
    <sheet xmlns:r="http://schemas.openxmlformats.org/officeDocument/2006/relationships" name="10_QUANTITIES" sheetId="11" state="visible" r:id="rId11"/>
    <sheet xmlns:r="http://schemas.openxmlformats.org/officeDocument/2006/relationships" name="11_DIMENSIONS" sheetId="12" state="visible" r:id="rId12"/>
    <sheet xmlns:r="http://schemas.openxmlformats.org/officeDocument/2006/relationships" name="12_CALCULATED_BRIDGES" sheetId="13" state="visible" r:id="rId13"/>
    <sheet xmlns:r="http://schemas.openxmlformats.org/officeDocument/2006/relationships" name="13_EXECUTED_MATHEMATICS" sheetId="14" state="visible" r:id="rId14"/>
    <sheet xmlns:r="http://schemas.openxmlformats.org/officeDocument/2006/relationships" name="14_COSMO_DYN_CALCULATED" sheetId="15" state="visible" r:id="rId15"/>
    <sheet xmlns:r="http://schemas.openxmlformats.org/officeDocument/2006/relationships" name="15_RECOVERY_CERTIFIED" sheetId="16" state="visible" r:id="rId16"/>
    <sheet xmlns:r="http://schemas.openxmlformats.org/officeDocument/2006/relationships" name="16_SIMULATION_EVIDENCE" sheetId="17" state="visible" r:id="rId17"/>
    <sheet xmlns:r="http://schemas.openxmlformats.org/officeDocument/2006/relationships" name="17_NCG_H003_DIRAC" sheetId="18" state="visible" r:id="rId18"/>
    <sheet xmlns:r="http://schemas.openxmlformats.org/officeDocument/2006/relationships" name="18_NCG_H004_ADMISSIBILITY" sheetId="19" state="visible" r:id="rId19"/>
    <sheet xmlns:r="http://schemas.openxmlformats.org/officeDocument/2006/relationships" name="19_NCG_H006_UNIVERSALITY" sheetId="20" state="visible" r:id="rId20"/>
    <sheet xmlns:r="http://schemas.openxmlformats.org/officeDocument/2006/relationships" name="20_NCG_H006_THEOREM" sheetId="21" state="visible" r:id="rId21"/>
    <sheet xmlns:r="http://schemas.openxmlformats.org/officeDocument/2006/relationships" name="21_MASTER_CASCADE" sheetId="22" state="visible" r:id="rId22"/>
    <sheet xmlns:r="http://schemas.openxmlformats.org/officeDocument/2006/relationships" name="22_CALCULATED_DAG" sheetId="23" state="visible" r:id="rId23"/>
    <sheet xmlns:r="http://schemas.openxmlformats.org/officeDocument/2006/relationships" name="23_AUDIT_SUMMARY" sheetId="24" state="visible" r:id="rId24"/>
    <sheet xmlns:r="http://schemas.openxmlformats.org/officeDocument/2006/relationships" name="24_NUMERICAL_AUDIT" sheetId="25" state="visible" r:id="rId25"/>
  </sheets>
  <definedNames>
    <definedName name="_xlnm._FilterDatabase" localSheetId="0" hidden="1">'00_README'!$A$1:$B$12</definedName>
    <definedName name="_xlnm._FilterDatabase" localSheetId="1" hidden="1">'01_MASTER_THEORY'!$A$1:$D$21</definedName>
    <definedName name="_xlnm._FilterDatabase" localSheetId="2" hidden="1">'02_PRIMITIVES'!$A$1:$E$6</definedName>
    <definedName name="_xlnm._FilterDatabase" localSheetId="3" hidden="1">'03_OPERATOR_ALGEBRA'!$A$1:$E$11</definedName>
    <definedName name="_xlnm._FilterDatabase" localSheetId="4" hidden="1">'04_CALCULATED_EQUATIONS'!$A$1:$F$62</definedName>
    <definedName name="_xlnm._FilterDatabase" localSheetId="5" hidden="1">'05_DER_CERTIFIED'!$A$1:$D$53</definedName>
    <definedName name="_xlnm._FilterDatabase" localSheetId="6" hidden="1">'06_THEOREMS_CERTIFIED'!$A$1:$D$9</definedName>
    <definedName name="_xlnm._FilterDatabase" localSheetId="7" hidden="1">'07_PROOFS_COMPLETED'!$A$1:$D$6</definedName>
    <definedName name="_xlnm._FilterDatabase" localSheetId="8" hidden="1">'08_VARIABLES'!$A$1:$F$254</definedName>
    <definedName name="_xlnm._FilterDatabase" localSheetId="9" hidden="1">'09_CONSTANTS_REGISTERED'!$A$1:$I$18</definedName>
    <definedName name="_xlnm._FilterDatabase" localSheetId="10" hidden="1">'10_QUANTITIES'!$A$1:$H$44</definedName>
    <definedName name="_xlnm._FilterDatabase" localSheetId="11" hidden="1">'11_DIMENSIONS'!$A$1:$E$13</definedName>
    <definedName name="_xlnm._FilterDatabase" localSheetId="12" hidden="1">'12_CALCULATED_BRIDGES'!$A$1:$F$26</definedName>
    <definedName name="_xlnm._FilterDatabase" localSheetId="13" hidden="1">'13_EXECUTED_MATHEMATICS'!$A$1:$D$37</definedName>
    <definedName name="_xlnm._FilterDatabase" localSheetId="14" hidden="1">'14_COSMO_DYN_CALCULATED'!$A$1:$F$24</definedName>
    <definedName name="_xlnm._FilterDatabase" localSheetId="15" hidden="1">'15_RECOVERY_CERTIFIED'!$A$1:$G$4</definedName>
    <definedName name="_xlnm._FilterDatabase" localSheetId="16" hidden="1">'16_SIMULATION_EVIDENCE'!$A$1:$F$8</definedName>
    <definedName name="_xlnm._FilterDatabase" localSheetId="17" hidden="1">'17_NCG_H003_DIRAC'!$A$1:$E$6</definedName>
    <definedName name="_xlnm._FilterDatabase" localSheetId="18" hidden="1">'18_NCG_H004_ADMISSIBILITY'!$A$1:$E$10</definedName>
    <definedName name="_xlnm._FilterDatabase" localSheetId="19" hidden="1">'19_NCG_H006_UNIVERSALITY'!$A$1:$I$6</definedName>
    <definedName name="_xlnm._FilterDatabase" localSheetId="20" hidden="1">'20_NCG_H006_THEOREM'!$A$1:$E$6</definedName>
    <definedName name="_xlnm._FilterDatabase" localSheetId="21" hidden="1">'21_MASTER_CASCADE'!$A$1:$E$23</definedName>
    <definedName name="_xlnm._FilterDatabase" localSheetId="22" hidden="1">'22_CALCULATED_DAG'!$A$1:$D$20</definedName>
    <definedName name="_xlnm._FilterDatabase" localSheetId="23" hidden="1">'23_AUDIT_SUMMARY'!$A$1:$C$12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i val="1"/>
      <color rgb="0040404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ables/table1.xml><?xml version="1.0" encoding="utf-8"?>
<table xmlns="http://schemas.openxmlformats.org/spreadsheetml/2006/main" id="1" name="00_README" displayName="00_README" ref="A1:B12" headerRowCount="1">
  <autoFilter ref="A1:B12"/>
  <tableColumns count="2">
    <tableColumn id="1" name="UOC / SEIT / Universal Rosetta — Canonical Calculated Theory Core"/>
    <tableColumn id="2" name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1_MASTER_THEORY" displayName="01_MASTER_THEORY" ref="A1:D21" headerRowCount="1">
  <autoFilter ref="A1:D21"/>
  <tableColumns count="4">
    <tableColumn id="1" name="Layer"/>
    <tableColumn id="2" name="Canonical object / relation"/>
    <tableColumn id="3" name="Status"/>
    <tableColumn id="4" name="Scop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2_PRIMITIVES" displayName="02_PRIMITIVES" ref="A1:E6" headerRowCount="1">
  <autoFilter ref="A1:E6"/>
  <tableColumns count="5">
    <tableColumn id="1" name="Source_Table"/>
    <tableColumn id="2" name="ID"/>
    <tableColumn id="3" name="Symbol"/>
    <tableColumn id="4" name="Name"/>
    <tableColumn id="5" name="Defini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3_OPERATOR_ALGEBRA" displayName="03_OPERATOR_ALGEBRA" ref="A1:E11" headerRowCount="1">
  <autoFilter ref="A1:E11"/>
  <tableColumns count="5">
    <tableColumn id="1" name="ID"/>
    <tableColumn id="2" name="Relation"/>
    <tableColumn id="3" name="Meaning"/>
    <tableColumn id="4" name="Layer"/>
    <tableColumn id="5" name="Sour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4_CALCULATED_EQUATIONS" displayName="04_CALCULATED_EQUATIONS" ref="A1:F62" headerRowCount="1">
  <autoFilter ref="A1:F62"/>
  <tableColumns count="6">
    <tableColumn id="1" name="Calc_ID"/>
    <tableColumn id="2" name="Result / Bridge"/>
    <tableColumn id="3" name="Equation"/>
    <tableColumn id="4" name="Derivation Status"/>
    <tableColumn id="5" name="Scope / Note"/>
    <tableColumn id="6" name="Sour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5_DER_CERTIFIED" displayName="05_DER_CERTIFIED" ref="A1:D53" headerRowCount="1">
  <autoFilter ref="A1:D53"/>
  <tableColumns count="4">
    <tableColumn id="1" name="Entry ID"/>
    <tableColumn id="2" name="Statement (abbreviated)"/>
    <tableColumn id="3" name="Direct Predecessors"/>
    <tableColumn id="4" name="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6_THEOREMS_CERTIFIED" displayName="06_THEOREMS_CERTIFIED" ref="A1:D9" headerRowCount="1">
  <autoFilter ref="A1:D9"/>
  <tableColumns count="4">
    <tableColumn id="1" name="ID"/>
    <tableColumn id="2" name="Theorem"/>
    <tableColumn id="3" name="Basis / Statement"/>
    <tableColumn id="4" name="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7_PROOFS_COMPLETED" displayName="07_PROOFS_COMPLETED" ref="A1:D6" headerRowCount="1">
  <autoFilter ref="A1:D6"/>
  <tableColumns count="4">
    <tableColumn id="1" name="PRF ID"/>
    <tableColumn id="2" name="For"/>
    <tableColumn id="3" name="Missing"/>
    <tableColumn id="4" name="Clos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8_VARIABLES" displayName="08_VARIABLES" ref="A1:F254" headerRowCount="1">
  <autoFilter ref="A1:F254"/>
  <tableColumns count="6">
    <tableColumn id="1" name="Variable_ID"/>
    <tableColumn id="2" name="Symbol"/>
    <tableColumn id="3" name="Definition"/>
    <tableColumn id="4" name="Units"/>
    <tableColumn id="5" name="Status"/>
    <tableColumn id="6" name="Origin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09_CONSTANTS_REGISTERED" displayName="09_CONSTANTS_REGISTERED" ref="A1:I18" headerRowCount="1">
  <autoFilter ref="A1:I18"/>
  <tableColumns count="9">
    <tableColumn id="1" name="Constant_ID"/>
    <tableColumn id="2" name="Symbol"/>
    <tableColumn id="3" name="UCCP_Type"/>
    <tableColumn id="4" name="Meaning"/>
    <tableColumn id="5" name="Source Status"/>
    <tableColumn id="6" name="Dependency"/>
    <tableColumn id="7" name="Dimensions"/>
    <tableColumn id="8" name="Value"/>
    <tableColumn id="9" name="Source Not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0_QUANTITIES" displayName="10_QUANTITIES" ref="A1:H44" headerRowCount="1">
  <autoFilter ref="A1:H44"/>
  <tableColumns count="8">
    <tableColumn id="1" name="Source_Table"/>
    <tableColumn id="2" name="ID"/>
    <tableColumn id="3" name="Symbol"/>
    <tableColumn id="4" name="Meaning"/>
    <tableColumn id="5" name="Units"/>
    <tableColumn id="6" name="Governing Constants"/>
    <tableColumn id="7" name="Formula / Connection"/>
    <tableColumn id="8" name="Invariance / Not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1_DIMENSIONS" displayName="11_DIMENSIONS" ref="A1:E13" headerRowCount="1">
  <autoFilter ref="A1:E13"/>
  <tableColumns count="5">
    <tableColumn id="1" name="ID"/>
    <tableColumn id="2" name="Symbol"/>
    <tableColumn id="3" name="Object Class"/>
    <tableColumn id="4" name="Dimension"/>
    <tableColumn id="5" name="Statu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2_CALCULATED_BRIDGES" displayName="12_CALCULATED_BRIDGES" ref="A1:F26" headerRowCount="1">
  <autoFilter ref="A1:F26"/>
  <tableColumns count="6">
    <tableColumn id="1" name="Bridge_ID"/>
    <tableColumn id="2" name="From→To"/>
    <tableColumn id="3" name="Bridge Name"/>
    <tableColumn id="4" name="Mathematical Form"/>
    <tableColumn id="5" name="Derivation Status"/>
    <tableColumn id="6" name="Closure / Dependency Not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3_EXECUTED_MATHEMATICS" displayName="13_EXECUTED_MATHEMATICS" ref="A1:D37" headerRowCount="1">
  <autoFilter ref="A1:D37"/>
  <tableColumns count="4">
    <tableColumn id="1" name="Result"/>
    <tableColumn id="2" name="Equation / Identity"/>
    <tableColumn id="3" name="Status"/>
    <tableColumn id="4" name="Scope / Not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4_COSMO_DYN_CALCULATED" displayName="14_COSMO_DYN_CALCULATED" ref="A1:F24" headerRowCount="1">
  <autoFilter ref="A1:F24"/>
  <tableColumns count="6">
    <tableColumn id="1" name="Chain / Test"/>
    <tableColumn id="2" name="Result"/>
    <tableColumn id="3" name="Status"/>
    <tableColumn id="4" name="Scope / Assumptions"/>
    <tableColumn id="5" name="Dependency Boundary"/>
    <tableColumn id="6" name="Numerical Value / Diagnostic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5_RECOVERY_CERTIFIED" displayName="15_RECOVERY_CERTIFIED" ref="A1:G4" headerRowCount="1">
  <autoFilter ref="A1:G4"/>
  <tableColumns count="7">
    <tableColumn id="1" name="Branch_ID"/>
    <tableColumn id="2" name="Branch_Name"/>
    <tableColumn id="3" name="Registry_Code"/>
    <tableColumn id="4" name="Core_Objects"/>
    <tableColumn id="5" name="Closure_Layer"/>
    <tableColumn id="6" name="Status"/>
    <tableColumn id="7" name="Authority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_SIMULATION_EVIDENCE" displayName="16_SIMULATION_EVIDENCE" ref="A1:F8" headerRowCount="1">
  <autoFilter ref="A1:F8"/>
  <tableColumns count="6">
    <tableColumn id="1" name="System"/>
    <tableColumn id="2" name="ID"/>
    <tableColumn id="3" name="Calculated result"/>
    <tableColumn id="4" name="Status"/>
    <tableColumn id="5" name="Numerical / analytical evidence"/>
    <tableColumn id="6" name="Sourc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17_NCG_H003_DIRAC" displayName="17_NCG_H003_DIRAC" ref="A1:E6" headerRowCount="1">
  <autoFilter ref="A1:E6"/>
  <tableColumns count="5">
    <tableColumn id="1" name="ID"/>
    <tableColumn id="2" name="Object"/>
    <tableColumn id="3" name="Equation"/>
    <tableColumn id="4" name="Status"/>
    <tableColumn id="5" name="Scop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18_NCG_H004_ADMISSIBILITY" displayName="18_NCG_H004_ADMISSIBILITY" ref="A1:E10" headerRowCount="1">
  <autoFilter ref="A1:E10"/>
  <tableColumns count="5">
    <tableColumn id="1" name="ID"/>
    <tableColumn id="2" name="Test"/>
    <tableColumn id="3" name="Equation / Object"/>
    <tableColumn id="4" name="Status"/>
    <tableColumn id="5" name="Result / Scop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19_NCG_H006_UNIVERSALITY" displayName="19_NCG_H006_UNIVERSALITY" ref="A1:I6" headerRowCount="1">
  <autoFilter ref="A1:I6"/>
  <tableColumns count="9">
    <tableColumn id="1" name="Graph"/>
    <tableColumn id="2" name="Family"/>
    <tableColumn id="3" name="|V|"/>
    <tableColumn id="4" name="|E|"/>
    <tableColumn id="5" name="B"/>
    <tableColumn id="6" name="L=BBᵀ"/>
    <tableColumn id="7" name="Spec(L)"/>
    <tableColumn id="8" name="Real-structure result"/>
    <tableColumn id="9" name="Reason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0_NCG_H006_THEOREM" displayName="20_NCG_H006_THEOREM" ref="A1:E6" headerRowCount="1">
  <autoFilter ref="A1:E6"/>
  <tableColumns count="5">
    <tableColumn id="1" name="ID"/>
    <tableColumn id="2" name="Statement"/>
    <tableColumn id="3" name="Equation"/>
    <tableColumn id="4" name="Status"/>
    <tableColumn id="5" name="Interpretation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1_MASTER_CASCADE" displayName="21_MASTER_CASCADE" ref="A1:E23" headerRowCount="1">
  <autoFilter ref="A1:E23"/>
  <tableColumns count="5">
    <tableColumn id="1" name="Order"/>
    <tableColumn id="2" name="Symbol/Object"/>
    <tableColumn id="3" name="Definition"/>
    <tableColumn id="4" name="Layer"/>
    <tableColumn id="5" name="Status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2_CALCULATED_DAG" displayName="22_CALCULATED_DAG" ref="A1:D20" headerRowCount="1">
  <autoFilter ref="A1:D20"/>
  <tableColumns count="4">
    <tableColumn id="1" name="Parent"/>
    <tableColumn id="2" name="Child"/>
    <tableColumn id="3" name="Relation"/>
    <tableColumn id="4" name="Status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23_AUDIT_SUMMARY" displayName="23_AUDIT_SUMMARY" ref="A1:C12" headerRowCount="1">
  <autoFilter ref="A1:C12"/>
  <tableColumns count="3">
    <tableColumn id="1" name="Metric"/>
    <tableColumn id="2" name="Value"/>
    <tableColumn id="3" name="Interpret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UOC / SEIT / Universal Rosetta — Canonical Calculated Theory Core</t>
        </is>
      </c>
    </row>
    <row r="2">
      <c r="A2" s="2" t="inlineStr">
        <is>
          <t>Calculated-only master variant | synchronized through 2026-08-16 | open bridge/frontier records excluded</t>
        </is>
      </c>
    </row>
    <row r="3">
      <c r="A3" s="3" t="inlineStr">
        <is>
          <t>Field</t>
        </is>
      </c>
      <c r="B3" s="3" t="inlineStr">
        <is>
          <t>Canonical Value</t>
        </is>
      </c>
    </row>
    <row r="4">
      <c r="A4" s="4" t="inlineStr">
        <is>
          <t>Workbook</t>
        </is>
      </c>
      <c r="B4" s="4" t="inlineStr">
        <is>
          <t>UOC_ToE_Canonical_Calculated_Master_v1.0.xlsx</t>
        </is>
      </c>
    </row>
    <row r="5">
      <c r="A5" s="4" t="inlineStr">
        <is>
          <t>Purpose</t>
        </is>
      </c>
      <c r="B5" s="4" t="inlineStr">
        <is>
          <t>Calculated core of the UOC / SEIT / Universal Rosetta / Theory of Organizational Evolution project.</t>
        </is>
      </c>
    </row>
    <row r="6">
      <c r="A6" s="4" t="inlineStr">
        <is>
          <t>Scope rule</t>
        </is>
      </c>
      <c r="B6" s="4" t="inlineStr">
        <is>
          <t>Open bridges, proposed programs, and unresolved frontier obligations are excluded from the calculated core.</t>
        </is>
      </c>
    </row>
    <row r="7">
      <c r="A7" s="4" t="inlineStr">
        <is>
          <t>Status rule</t>
        </is>
      </c>
      <c r="B7" s="4" t="inlineStr">
        <is>
          <t>A result can be calculated within an explicit scope without being universally closed. Scope is preserved in each row.</t>
        </is>
      </c>
    </row>
    <row r="8">
      <c r="A8" s="4" t="inlineStr">
        <is>
          <t>Canonical governance</t>
        </is>
      </c>
      <c r="B8" s="4" t="inlineStr">
        <is>
          <t>DERIVATION STATUS ≠ CLOSURE STATUS ≠ REGISTRY STATUS.</t>
        </is>
      </c>
    </row>
    <row r="9">
      <c r="A9" s="4" t="inlineStr">
        <is>
          <t>Primary spine</t>
        </is>
      </c>
      <c r="B9" s="4" t="inlineStr">
        <is>
          <t>Δ, τ, κ, Π → Γ → O → Ψ → G → L → Spec(L) → persistence/spectral geometry → continuum geometry → dynamics.</t>
        </is>
      </c>
    </row>
    <row r="10">
      <c r="A10" s="4" t="inlineStr">
        <is>
          <t>Physics spine</t>
        </is>
      </c>
      <c r="B10" s="4" t="inlineStr">
        <is>
          <t>G → L → Spec(L) → K_t → d → g → ∇ → curvature → Einstein dynamics.</t>
        </is>
      </c>
    </row>
    <row r="11">
      <c r="A11" s="4" t="inlineStr">
        <is>
          <t>Quantum/Dirac spine</t>
        </is>
      </c>
      <c r="B11" s="4" t="inlineStr">
        <is>
          <t>B → L=BBᵀ → D_G → graded finite differential structure; NCG correspondence retained only where actually calculated.</t>
        </is>
      </c>
    </row>
    <row r="12">
      <c r="A12" s="4" t="inlineStr">
        <is>
          <t>Cosmology spine</t>
        </is>
      </c>
      <c r="B12" s="4" t="inlineStr">
        <is>
          <t>spectral DOS → ρ_vac → Λ_cosm → H → a(t), with cutoff/scale ancestry explicitly scoped.</t>
        </is>
      </c>
    </row>
    <row r="13">
      <c r="A13" s="4" t="inlineStr">
        <is>
          <t>Current-chat addition</t>
        </is>
      </c>
      <c r="B13" s="4" t="inlineStr">
        <is>
          <t>H-003 incidence Dirac construction, H-004 finite NCG admissibility tests, H-006 graph-class universality test.</t>
        </is>
      </c>
    </row>
    <row r="14">
      <c r="A14" s="4" t="inlineStr">
        <is>
          <t>Source synchronization</t>
        </is>
      </c>
      <c r="B14" s="4" t="inlineStr">
        <is>
          <t>Built from the latest synchronized canonical master workbook and preserved project registries.</t>
        </is>
      </c>
    </row>
  </sheetData>
  <autoFilter ref="A1:B12"/>
  <mergeCells count="2">
    <mergeCell ref="A2:B2"/>
    <mergeCell ref="A1:B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8" customWidth="1" min="2" max="2"/>
    <col width="28" customWidth="1" min="3" max="3"/>
    <col width="75" customWidth="1" min="4" max="4"/>
  </cols>
  <sheetData>
    <row r="1">
      <c r="A1" s="3" t="inlineStr">
        <is>
          <t>Layer</t>
        </is>
      </c>
      <c r="B1" s="3" t="inlineStr">
        <is>
          <t>Canonical object / relation</t>
        </is>
      </c>
      <c r="C1" s="3" t="inlineStr">
        <is>
          <t>Status</t>
        </is>
      </c>
      <c r="D1" s="3" t="inlineStr">
        <is>
          <t>Scope</t>
        </is>
      </c>
    </row>
    <row r="2">
      <c r="A2" s="4" t="inlineStr">
        <is>
          <t>C0</t>
        </is>
      </c>
      <c r="B2" s="4" t="inlineStr">
        <is>
          <t>(Δ,τ,κ,Π) → Γ=κ∘τ∘Δ</t>
        </is>
      </c>
      <c r="C2" s="4" t="inlineStr">
        <is>
          <t>CERTIFIED SPINE</t>
        </is>
      </c>
      <c r="D2" s="4" t="inlineStr">
        <is>
          <t>Canonical organizational grammar realization; uniqueness not claimed here.</t>
        </is>
      </c>
    </row>
    <row r="3">
      <c r="A3" s="4" t="inlineStr">
        <is>
          <t>C1</t>
        </is>
      </c>
      <c r="B3" s="4" t="inlineStr">
        <is>
          <t>Γ → O → Ψ</t>
        </is>
      </c>
      <c r="C3" s="4" t="inlineStr">
        <is>
          <t>CERTIFIED/PARTIAL</t>
        </is>
      </c>
      <c r="D3" s="4" t="inlineStr">
        <is>
          <t>Recursive organizational evolution representation.</t>
        </is>
      </c>
    </row>
    <row r="4">
      <c r="A4" s="4" t="inlineStr">
        <is>
          <t>C2</t>
        </is>
      </c>
      <c r="B4" s="4" t="inlineStr">
        <is>
          <t>Ψ → G</t>
        </is>
      </c>
      <c r="C4" s="4" t="inlineStr">
        <is>
          <t>CALCULATED/SCOPED</t>
        </is>
      </c>
      <c r="D4" s="4" t="inlineStr">
        <is>
          <t>Graph substrate realization for admitted representations.</t>
        </is>
      </c>
    </row>
    <row r="5">
      <c r="A5" s="4" t="inlineStr">
        <is>
          <t>C2</t>
        </is>
      </c>
      <c r="B5" s="4" t="inlineStr">
        <is>
          <t>G → L=D-A</t>
        </is>
      </c>
      <c r="C5" s="4" t="inlineStr">
        <is>
          <t>CERTIFIED</t>
        </is>
      </c>
      <c r="D5" s="4" t="inlineStr">
        <is>
          <t>Finite symmetric PSD graph-Laplacian branch.</t>
        </is>
      </c>
    </row>
    <row r="6">
      <c r="A6" s="4" t="inlineStr">
        <is>
          <t>C2</t>
        </is>
      </c>
      <c r="B6" s="4" t="inlineStr">
        <is>
          <t>Lφ=λφ</t>
        </is>
      </c>
      <c r="C6" s="4" t="inlineStr">
        <is>
          <t>CERTIFIED</t>
        </is>
      </c>
      <c r="D6" s="4" t="inlineStr">
        <is>
          <t>Spectral theorem under self-adjoint finite-graph conditions.</t>
        </is>
      </c>
    </row>
    <row r="7">
      <c r="A7" s="4" t="inlineStr">
        <is>
          <t>C2</t>
        </is>
      </c>
      <c r="B7" s="4" t="inlineStr">
        <is>
          <t>e^{-tL}</t>
        </is>
      </c>
      <c r="C7" s="4" t="inlineStr">
        <is>
          <t>CERTIFIED</t>
        </is>
      </c>
      <c r="D7" s="4" t="inlineStr">
        <is>
          <t>Heat semigroup / diffusion operator.</t>
        </is>
      </c>
    </row>
    <row r="8">
      <c r="A8" s="4" t="inlineStr">
        <is>
          <t>C2</t>
        </is>
      </c>
      <c r="B8" s="4" t="inlineStr">
        <is>
          <t>lim_{t→∞}e^{-tL}=P_kerL</t>
        </is>
      </c>
      <c r="C8" s="4" t="inlineStr">
        <is>
          <t>DERIVED</t>
        </is>
      </c>
      <c r="D8" s="4" t="inlineStr">
        <is>
          <t>Finite PSD graph.</t>
        </is>
      </c>
    </row>
    <row r="9">
      <c r="A9" s="4" t="inlineStr">
        <is>
          <t>C3</t>
        </is>
      </c>
      <c r="B9" s="4" t="inlineStr">
        <is>
          <t>Spec(L) → diffusion distance → metric</t>
        </is>
      </c>
      <c r="C9" s="4" t="inlineStr">
        <is>
          <t>CALCULATED/SCOPED</t>
        </is>
      </c>
      <c r="D9" s="4" t="inlineStr">
        <is>
          <t>Nonzero spectral modes; explicit continuum/refinement scope.</t>
        </is>
      </c>
    </row>
    <row r="10">
      <c r="A10" s="4" t="inlineStr">
        <is>
          <t>C3</t>
        </is>
      </c>
      <c r="B10" s="4" t="inlineStr">
        <is>
          <t>L_N/h_N² → -Δ_g</t>
        </is>
      </c>
      <c r="C10" s="4" t="inlineStr">
        <is>
          <t>CLOSED FOR TEST FAMILY</t>
        </is>
      </c>
      <c r="D10" s="4" t="inlineStr">
        <is>
          <t>Periodic refinement family.</t>
        </is>
      </c>
    </row>
    <row r="11">
      <c r="A11" s="4" t="inlineStr">
        <is>
          <t>C3</t>
        </is>
      </c>
      <c r="B11" s="4" t="inlineStr">
        <is>
          <t>K_N → K_g → d_g → g_ij</t>
        </is>
      </c>
      <c r="C11" s="4" t="inlineStr">
        <is>
          <t>CONDITIONAL/DERIVED</t>
        </is>
      </c>
      <c r="D11" s="4" t="inlineStr">
        <is>
          <t>Joint heat-kernel scaling h_N²/t→0.</t>
        </is>
      </c>
    </row>
    <row r="12">
      <c r="A12" s="4" t="inlineStr">
        <is>
          <t>C3</t>
        </is>
      </c>
      <c r="B12" s="4" t="inlineStr">
        <is>
          <t>g → ∇ → Riemann → Ricci → R → G</t>
        </is>
      </c>
      <c r="C12" s="4" t="inlineStr">
        <is>
          <t>DERIVED</t>
        </is>
      </c>
      <c r="D12" s="4" t="inlineStr">
        <is>
          <t>Riemannian differentiable metric scope.</t>
        </is>
      </c>
    </row>
    <row r="13">
      <c r="A13" s="4" t="inlineStr">
        <is>
          <t>C4</t>
        </is>
      </c>
      <c r="B13" s="4" t="inlineStr">
        <is>
          <t>Scale-free spectral invariance under L→s^{-2}L</t>
        </is>
      </c>
      <c r="C13" s="4" t="inlineStr">
        <is>
          <t>DERIVED</t>
        </is>
      </c>
      <c r="D13" s="4" t="inlineStr">
        <is>
          <t>Absolute scale cannot be selected from ratios alone.</t>
        </is>
      </c>
    </row>
    <row r="14">
      <c r="A14" s="4" t="inlineStr">
        <is>
          <t>C5</t>
        </is>
      </c>
      <c r="B14" s="4" t="inlineStr">
        <is>
          <t>B → L=BBᵀ → D_G</t>
        </is>
      </c>
      <c r="C14" s="4" t="inlineStr">
        <is>
          <t>DERIVED/CALCULATED</t>
        </is>
      </c>
      <c r="D14" s="4" t="inlineStr">
        <is>
          <t>Incidence Dirac construction.</t>
        </is>
      </c>
    </row>
    <row r="15">
      <c r="A15" s="4" t="inlineStr">
        <is>
          <t>C5</t>
        </is>
      </c>
      <c r="B15" s="4" t="inlineStr">
        <is>
          <t>[D_G,π(a)] contains da</t>
        </is>
      </c>
      <c r="C15" s="4" t="inlineStr">
        <is>
          <t>DERIVED/CALCULATED</t>
        </is>
      </c>
      <c r="D15" s="4" t="inlineStr">
        <is>
          <t>Endpoint algebra representation.</t>
        </is>
      </c>
    </row>
    <row r="16">
      <c r="A16" s="4" t="inlineStr">
        <is>
          <t>C6</t>
        </is>
      </c>
      <c r="B16" s="4" t="inlineStr">
        <is>
          <t>D_G graded finite differential structure</t>
        </is>
      </c>
      <c r="C16" s="4" t="inlineStr">
        <is>
          <t>DERIVED/CALCULATED</t>
        </is>
      </c>
      <c r="D16" s="4" t="inlineStr">
        <is>
          <t>γD_G+D_Gγ=0; bounded commutators finite-dimensional.</t>
        </is>
      </c>
    </row>
    <row r="17">
      <c r="A17" s="4" t="inlineStr">
        <is>
          <t>C7</t>
        </is>
      </c>
      <c r="B17" s="4" t="inlineStr">
        <is>
          <t>dν/dλ=√λ/(4π²)</t>
        </is>
      </c>
      <c r="C17" s="4" t="inlineStr">
        <is>
          <t>DERIVED</t>
        </is>
      </c>
      <c r="D17" s="4" t="inlineStr">
        <is>
          <t>Flat 3D continuum.</t>
        </is>
      </c>
    </row>
    <row r="18">
      <c r="A18" s="4" t="inlineStr">
        <is>
          <t>C7</t>
        </is>
      </c>
      <c r="B18" s="4" t="inlineStr">
        <is>
          <t>ρ_vac=ħcΛ_*⁴/(16π²)</t>
        </is>
      </c>
      <c r="C18" s="4" t="inlineStr">
        <is>
          <t>DERIVED/CALCULATED</t>
        </is>
      </c>
      <c r="D18" s="4" t="inlineStr">
        <is>
          <t>Fixed physical cutoff + continuum DOS.</t>
        </is>
      </c>
    </row>
    <row r="19">
      <c r="A19" s="4" t="inlineStr">
        <is>
          <t>C7</t>
        </is>
      </c>
      <c r="B19" s="4" t="inlineStr">
        <is>
          <t>Λ_cosm=ℓ_p²Λ_*⁴/(2π)</t>
        </is>
      </c>
      <c r="C19" s="4" t="inlineStr">
        <is>
          <t>DERIVED</t>
        </is>
      </c>
      <c r="D19" s="4" t="inlineStr">
        <is>
          <t>Downstream mapping given cutoff and Planck relation.</t>
        </is>
      </c>
    </row>
    <row r="20">
      <c r="A20" s="4" t="inlineStr">
        <is>
          <t>C7</t>
        </is>
      </c>
      <c r="B20" s="4" t="inlineStr">
        <is>
          <t>H²=8πGρ_vac/3</t>
        </is>
      </c>
      <c r="C20" s="4" t="inlineStr">
        <is>
          <t>DERIVED/ADMITTED</t>
        </is>
      </c>
      <c r="D20" s="4" t="inlineStr">
        <is>
          <t>k=0 vacuum EH branch.</t>
        </is>
      </c>
    </row>
    <row r="21">
      <c r="A21" s="4" t="inlineStr">
        <is>
          <t>C7</t>
        </is>
      </c>
      <c r="B21" s="4" t="inlineStr">
        <is>
          <t>a(t)=a₀exp(∫Hdt)</t>
        </is>
      </c>
      <c r="C21" s="4" t="inlineStr">
        <is>
          <t>DERIVED</t>
        </is>
      </c>
      <c r="D21" s="4" t="inlineStr">
        <is>
          <t>Expanding vacuum branch.</t>
        </is>
      </c>
    </row>
  </sheetData>
  <autoFilter ref="A1:D21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30" customWidth="1" min="4" max="4"/>
    <col width="85" customWidth="1" min="5" max="5"/>
  </cols>
  <sheetData>
    <row r="1">
      <c r="A1" s="3" t="inlineStr">
        <is>
          <t>Source_Table</t>
        </is>
      </c>
      <c r="B1" s="3" t="inlineStr">
        <is>
          <t>ID</t>
        </is>
      </c>
      <c r="C1" s="3" t="inlineStr">
        <is>
          <t>Symbol</t>
        </is>
      </c>
      <c r="D1" s="3" t="inlineStr">
        <is>
          <t>Name</t>
        </is>
      </c>
      <c r="E1" s="3" t="inlineStr">
        <is>
          <t>Definition</t>
        </is>
      </c>
    </row>
    <row r="2">
      <c r="A2" s="4" t="n">
        <v>5</v>
      </c>
      <c r="B2" s="4" t="inlineStr">
        <is>
          <t>PRIM-G-001</t>
        </is>
      </c>
      <c r="C2" s="4" t="inlineStr">
        <is>
          <t>Delta (D)</t>
        </is>
      </c>
      <c r="D2" s="4" t="inlineStr">
        <is>
          <t>Distinction</t>
        </is>
      </c>
      <c r="E2" s="4" t="inlineStr">
        <is>
          <t>The minimal identifiable difference — a closed orientable boundary separating interior from exterior. Formally: a hypersurface satisfying the homological closure condition d(dΩ) = 0.</t>
        </is>
      </c>
    </row>
    <row r="3">
      <c r="A3" s="4" t="n">
        <v>5</v>
      </c>
      <c r="B3" s="4" t="inlineStr">
        <is>
          <t>PRIM-G-002</t>
        </is>
      </c>
      <c r="C3" s="4" t="inlineStr">
        <is>
          <t>tau (T)</t>
        </is>
      </c>
      <c r="D3" s="4" t="inlineStr">
        <is>
          <t>Transformation</t>
        </is>
      </c>
      <c r="E3" s="4" t="inlineStr">
        <is>
          <t>Any lawful evolution acting on an established distinction, preserving phase-space volume (discrete Liouville condition). Requires a prior distinction to act on.</t>
        </is>
      </c>
    </row>
    <row r="4">
      <c r="A4" s="4" t="n">
        <v>5</v>
      </c>
      <c r="B4" s="4" t="inlineStr">
        <is>
          <t>PRIM-G-003</t>
        </is>
      </c>
      <c r="C4" s="4" t="inlineStr">
        <is>
          <t>kappa (C)</t>
        </is>
      </c>
      <c r="D4" s="4" t="inlineStr">
        <is>
          <t>Constraint</t>
        </is>
      </c>
      <c r="E4" s="4" t="inlineStr">
        <is>
          <t>The rules restricting which transformations are permissible. Formally: a projection operator P_kappa satisfying idempotency (P_kappa^2 = P_kappa).</t>
        </is>
      </c>
    </row>
    <row r="5">
      <c r="A5" s="4" t="n">
        <v>5</v>
      </c>
      <c r="B5" s="4" t="inlineStr">
        <is>
          <t>PRIM-G-004</t>
        </is>
      </c>
      <c r="C5" s="4" t="inlineStr">
        <is>
          <t>Pi (P)</t>
        </is>
      </c>
      <c r="D5" s="4" t="inlineStr">
        <is>
          <t>Persistence</t>
        </is>
      </c>
      <c r="E5" s="4" t="inlineStr">
        <is>
          <t>The retention of organizational identity across constrained transformations — the kernel of an invariant operator surviving repeated application of tau under kappa.</t>
        </is>
      </c>
    </row>
    <row r="6">
      <c r="A6" s="4" t="n">
        <v>8</v>
      </c>
      <c r="B6" s="4" t="inlineStr">
        <is>
          <t>PRIM-X-005</t>
        </is>
      </c>
      <c r="C6" s="4" t="inlineStr">
        <is>
          <t>Pi</t>
        </is>
      </c>
      <c r="D6" s="4" t="inlineStr">
        <is>
          <t>Persistence</t>
        </is>
      </c>
      <c r="E6" s="4" t="inlineStr">
        <is>
          <t>Stable organizational realization — same as PRIM-G-004.</t>
        </is>
      </c>
    </row>
  </sheetData>
  <autoFilter ref="A1:E6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28" customWidth="1" min="3" max="3"/>
    <col width="35" customWidth="1" min="4" max="4"/>
  </cols>
  <sheetData>
    <row r="1">
      <c r="A1" s="3" t="inlineStr">
        <is>
          <t>ID</t>
        </is>
      </c>
      <c r="B1" s="3" t="inlineStr">
        <is>
          <t>Relation</t>
        </is>
      </c>
      <c r="C1" s="3" t="inlineStr">
        <is>
          <t>Meaning</t>
        </is>
      </c>
      <c r="D1" s="3" t="inlineStr">
        <is>
          <t>Layer</t>
        </is>
      </c>
      <c r="E1" s="3" t="inlineStr">
        <is>
          <t>Source</t>
        </is>
      </c>
    </row>
    <row r="2">
      <c r="A2" s="4" t="inlineStr">
        <is>
          <t>OPREL-001</t>
        </is>
      </c>
      <c r="B2" s="4" t="inlineStr">
        <is>
          <t>D²=D</t>
        </is>
      </c>
      <c r="C2" s="4" t="inlineStr">
        <is>
          <t>Distinction projection/idempotency</t>
        </is>
      </c>
      <c r="D2" s="4" t="inlineStr">
        <is>
          <t>Organizational operator</t>
        </is>
      </c>
      <c r="E2" s="4" t="inlineStr">
        <is>
          <t>PRIM-G-001</t>
        </is>
      </c>
    </row>
    <row r="3">
      <c r="A3" s="4" t="inlineStr">
        <is>
          <t>OPREL-002</t>
        </is>
      </c>
      <c r="B3" s="4" t="inlineStr">
        <is>
          <t>C²=C</t>
        </is>
      </c>
      <c r="C3" s="4" t="inlineStr">
        <is>
          <t>Constraint projection/idempotency</t>
        </is>
      </c>
      <c r="D3" s="4" t="inlineStr">
        <is>
          <t>Organizational operator</t>
        </is>
      </c>
      <c r="E3" s="4" t="inlineStr">
        <is>
          <t>PRIM-G-003</t>
        </is>
      </c>
    </row>
    <row r="4">
      <c r="A4" s="4" t="inlineStr">
        <is>
          <t>OPREL-003</t>
        </is>
      </c>
      <c r="B4" s="4" t="inlineStr">
        <is>
          <t>Γ=C∘T∘D</t>
        </is>
      </c>
      <c r="C4" s="4" t="inlineStr">
        <is>
          <t>Organizational composition</t>
        </is>
      </c>
      <c r="D4" s="4" t="inlineStr">
        <is>
          <t>DTC grammar</t>
        </is>
      </c>
      <c r="E4" s="4" t="inlineStr">
        <is>
          <t>DER-ORG-001/002</t>
        </is>
      </c>
    </row>
    <row r="5">
      <c r="A5" s="4" t="inlineStr">
        <is>
          <t>OPREL-004</t>
        </is>
      </c>
      <c r="B5" s="4" t="inlineStr">
        <is>
          <t>L=D_deg-A</t>
        </is>
      </c>
      <c r="C5" s="4" t="inlineStr">
        <is>
          <t>Graph Laplacian construction</t>
        </is>
      </c>
      <c r="D5" s="4" t="inlineStr">
        <is>
          <t>Spectral graph</t>
        </is>
      </c>
      <c r="E5" s="4" t="inlineStr">
        <is>
          <t>DER-SPC-002</t>
        </is>
      </c>
    </row>
    <row r="6">
      <c r="A6" s="4" t="inlineStr">
        <is>
          <t>OPREL-005</t>
        </is>
      </c>
      <c r="B6" s="4" t="inlineStr">
        <is>
          <t>K_t=e^{-tL}</t>
        </is>
      </c>
      <c r="C6" s="4" t="inlineStr">
        <is>
          <t>Heat semigroup</t>
        </is>
      </c>
      <c r="D6" s="4" t="inlineStr">
        <is>
          <t>Spectral evolution</t>
        </is>
      </c>
      <c r="E6" s="4" t="inlineStr">
        <is>
          <t>DER-SPC-004</t>
        </is>
      </c>
    </row>
    <row r="7">
      <c r="A7" s="4" t="inlineStr">
        <is>
          <t>OPREL-006</t>
        </is>
      </c>
      <c r="B7" s="4" t="inlineStr">
        <is>
          <t>R=e^{-βL}</t>
        </is>
      </c>
      <c r="C7" s="4" t="inlineStr">
        <is>
          <t>Persistence filter</t>
        </is>
      </c>
      <c r="D7" s="4" t="inlineStr">
        <is>
          <t>Spectral persistence</t>
        </is>
      </c>
      <c r="E7" s="4" t="inlineStr">
        <is>
          <t>DER-SPC-005</t>
        </is>
      </c>
    </row>
    <row r="8">
      <c r="A8" s="4" t="inlineStr">
        <is>
          <t>OPREL-007</t>
        </is>
      </c>
      <c r="B8" s="4" t="inlineStr">
        <is>
          <t>D=√L</t>
        </is>
      </c>
      <c r="C8" s="4" t="inlineStr">
        <is>
          <t>Dirac realization in scalar sector</t>
        </is>
      </c>
      <c r="D8" s="4" t="inlineStr">
        <is>
          <t>Quantum/geometry bridge</t>
        </is>
      </c>
      <c r="E8" s="4" t="inlineStr">
        <is>
          <t>DER-QR-006</t>
        </is>
      </c>
    </row>
    <row r="9">
      <c r="A9" s="4" t="inlineStr">
        <is>
          <t>OPREL-008</t>
        </is>
      </c>
      <c r="B9" s="4" t="inlineStr">
        <is>
          <t>P²=P, P†=P</t>
        </is>
      </c>
      <c r="C9" s="4" t="inlineStr">
        <is>
          <t>Projector conditions</t>
        </is>
      </c>
      <c r="D9" s="4" t="inlineStr">
        <is>
          <t>Horizon/information candidate</t>
        </is>
      </c>
      <c r="E9" s="4" t="inlineStr">
        <is>
          <t>COSMO-DYN-013</t>
        </is>
      </c>
    </row>
    <row r="10">
      <c r="A10" s="4" t="inlineStr">
        <is>
          <t>OPREL-009</t>
        </is>
      </c>
      <c r="B10" s="4" t="inlineStr">
        <is>
          <t>[A,B]=AB-BA</t>
        </is>
      </c>
      <c r="C10" s="4" t="inlineStr">
        <is>
          <t>Commutator</t>
        </is>
      </c>
      <c r="D10" s="4" t="inlineStr">
        <is>
          <t>Operator algebra</t>
        </is>
      </c>
      <c r="E10" s="4" t="inlineStr">
        <is>
          <t>UCG Phase 0</t>
        </is>
      </c>
    </row>
    <row r="11">
      <c r="A11" s="4" t="inlineStr">
        <is>
          <t>OPREL-010</t>
        </is>
      </c>
      <c r="B11" s="4" t="inlineStr">
        <is>
          <t>Tr(f(L))=Σf(λ_i)</t>
        </is>
      </c>
      <c r="C11" s="4" t="inlineStr">
        <is>
          <t>Spectral trace</t>
        </is>
      </c>
      <c r="D11" s="4" t="inlineStr">
        <is>
          <t>Spectral invariant</t>
        </is>
      </c>
      <c r="E11" s="4" t="inlineStr">
        <is>
          <t>Master Equation Matrix</t>
        </is>
      </c>
    </row>
  </sheetData>
  <autoFilter ref="A1:E11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58" customWidth="1" min="3" max="3"/>
    <col width="28" customWidth="1" min="4" max="4"/>
    <col width="70" customWidth="1" min="5" max="5"/>
    <col width="28" customWidth="1" min="6" max="6"/>
  </cols>
  <sheetData>
    <row r="1">
      <c r="A1" s="3" t="inlineStr">
        <is>
          <t>Calc_ID</t>
        </is>
      </c>
      <c r="B1" s="3" t="inlineStr">
        <is>
          <t>Result / Bridge</t>
        </is>
      </c>
      <c r="C1" s="3" t="inlineStr">
        <is>
          <t>Equation</t>
        </is>
      </c>
      <c r="D1" s="3" t="inlineStr">
        <is>
          <t>Derivation Status</t>
        </is>
      </c>
      <c r="E1" s="3" t="inlineStr">
        <is>
          <t>Scope / Note</t>
        </is>
      </c>
      <c r="F1" s="3" t="inlineStr">
        <is>
          <t>Source</t>
        </is>
      </c>
    </row>
    <row r="2">
      <c r="A2" s="4" t="inlineStr">
        <is>
          <t>CALC-001</t>
        </is>
      </c>
      <c r="B2" s="4" t="inlineStr">
        <is>
          <t>Spectral evolution</t>
        </is>
      </c>
      <c r="C2" s="4" t="inlineStr">
        <is>
          <t>R(t)=e^{-tL}; R(t)φ_n=e^{-tλ_n}φ_n</t>
        </is>
      </c>
      <c r="D2" s="4" t="inlineStr">
        <is>
          <t>DERIVED</t>
        </is>
      </c>
      <c r="E2" s="4" t="inlineStr">
        <is>
          <t>PSD L</t>
        </is>
      </c>
      <c r="F2" s="4" t="inlineStr">
        <is>
          <t>26_EXECUTED_MATHEMATICS</t>
        </is>
      </c>
    </row>
    <row r="3">
      <c r="A3" s="4" t="inlineStr">
        <is>
          <t>CALC-002</t>
        </is>
      </c>
      <c r="B3" s="4" t="inlineStr">
        <is>
          <t>Persistent sector</t>
        </is>
      </c>
      <c r="C3" s="4" t="inlineStr">
        <is>
          <t>lim_{t→∞}e^{-tL}=P_kerL; Π∞=ker L</t>
        </is>
      </c>
      <c r="D3" s="4" t="inlineStr">
        <is>
          <t>DERIVED</t>
        </is>
      </c>
      <c r="E3" s="4" t="inlineStr">
        <is>
          <t>Finite PSD graph</t>
        </is>
      </c>
      <c r="F3" s="4" t="inlineStr">
        <is>
          <t>26_EXECUTED_MATHEMATICS</t>
        </is>
      </c>
    </row>
    <row r="4">
      <c r="A4" s="4" t="inlineStr">
        <is>
          <t>CALC-003</t>
        </is>
      </c>
      <c r="B4" s="4" t="inlineStr">
        <is>
          <t>Connected nullity</t>
        </is>
      </c>
      <c r="C4" s="4" t="inlineStr">
        <is>
          <t>dim ker L=1 for connected graph</t>
        </is>
      </c>
      <c r="D4" s="4" t="inlineStr">
        <is>
          <t>DERIVED</t>
        </is>
      </c>
      <c r="E4" s="4" t="inlineStr">
        <is>
          <t>Standard graph Laplacian</t>
        </is>
      </c>
      <c r="F4" s="4" t="inlineStr">
        <is>
          <t>26_EXECUTED_MATHEMATICS</t>
        </is>
      </c>
    </row>
    <row r="5">
      <c r="A5" s="4" t="inlineStr">
        <is>
          <t>CALC-004</t>
        </is>
      </c>
      <c r="B5" s="4" t="inlineStr">
        <is>
          <t>General nullity</t>
        </is>
      </c>
      <c r="C5" s="4" t="inlineStr">
        <is>
          <t>dim ker L=c</t>
        </is>
      </c>
      <c r="D5" s="4" t="inlineStr">
        <is>
          <t>DERIVED</t>
        </is>
      </c>
      <c r="E5" s="4" t="inlineStr">
        <is>
          <t>c connected components</t>
        </is>
      </c>
      <c r="F5" s="4" t="inlineStr">
        <is>
          <t>26_EXECUTED_MATHEMATICS</t>
        </is>
      </c>
    </row>
    <row r="6">
      <c r="A6" s="4" t="inlineStr">
        <is>
          <t>CALC-005</t>
        </is>
      </c>
      <c r="B6" s="4" t="inlineStr">
        <is>
          <t>Rank</t>
        </is>
      </c>
      <c r="C6" s="4" t="inlineStr">
        <is>
          <t>rank L=N-c</t>
        </is>
      </c>
      <c r="D6" s="4" t="inlineStr">
        <is>
          <t>DERIVED</t>
        </is>
      </c>
      <c r="E6" s="4" t="inlineStr">
        <is>
          <t>Immediate from rank-nullity</t>
        </is>
      </c>
      <c r="F6" s="4" t="inlineStr">
        <is>
          <t>26_EXECUTED_MATHEMATICS</t>
        </is>
      </c>
    </row>
    <row r="7">
      <c r="A7" s="4" t="inlineStr">
        <is>
          <t>CALC-006</t>
        </is>
      </c>
      <c r="B7" s="4" t="inlineStr">
        <is>
          <t>Bulk candidate</t>
        </is>
      </c>
      <c r="C7" s="4" t="inlineStr">
        <is>
          <t>N_bulk=Tr(I-P_kerL)=rank L</t>
        </is>
      </c>
      <c r="D7" s="4" t="inlineStr">
        <is>
          <t>DERIVED</t>
        </is>
      </c>
      <c r="E7" s="4" t="inlineStr">
        <is>
          <t>No cutoff required</t>
        </is>
      </c>
      <c r="F7" s="4" t="inlineStr">
        <is>
          <t>26_EXECUTED_MATHEMATICS</t>
        </is>
      </c>
    </row>
    <row r="8">
      <c r="A8" s="4" t="inlineStr">
        <is>
          <t>CALC-007</t>
        </is>
      </c>
      <c r="B8" s="4" t="inlineStr">
        <is>
          <t>Sharp-cutoff criterion</t>
        </is>
      </c>
      <c r="C8" s="4" t="inlineStr">
        <is>
          <t>N_cut=rank L iff m_max=c</t>
        </is>
      </c>
      <c r="D8" s="4" t="inlineStr">
        <is>
          <t>DERIVED</t>
        </is>
      </c>
      <c r="E8" s="4" t="inlineStr">
        <is>
          <t>For scalar sharp cutoff</t>
        </is>
      </c>
      <c r="F8" s="4" t="inlineStr">
        <is>
          <t>26_EXECUTED_MATHEMATICS</t>
        </is>
      </c>
    </row>
    <row r="9">
      <c r="A9" s="4" t="inlineStr">
        <is>
          <t>CALC-008</t>
        </is>
      </c>
      <c r="B9" s="4" t="inlineStr">
        <is>
          <t>Scale rescaling</t>
        </is>
      </c>
      <c r="C9" s="4" t="inlineStr">
        <is>
          <t>L_H→s^-2L_H; λ_i→s^-2λ_i</t>
        </is>
      </c>
      <c r="D9" s="4" t="inlineStr">
        <is>
          <t>DERIVED</t>
        </is>
      </c>
      <c r="E9" s="4" t="inlineStr">
        <is>
          <t>Spectral scale transformation</t>
        </is>
      </c>
      <c r="F9" s="4" t="inlineStr">
        <is>
          <t>26_EXECUTED_MATHEMATICS</t>
        </is>
      </c>
    </row>
    <row r="10">
      <c r="A10" s="4" t="inlineStr">
        <is>
          <t>CALC-009</t>
        </is>
      </c>
      <c r="B10" s="4" t="inlineStr">
        <is>
          <t>Scale-free invariants</t>
        </is>
      </c>
      <c r="C10" s="4" t="inlineStr">
        <is>
          <t>F(λ_i/λ_j,...) invariant under L_H rescaling</t>
        </is>
      </c>
      <c r="D10" s="4" t="inlineStr">
        <is>
          <t>DERIVED</t>
        </is>
      </c>
      <c r="E10" s="4" t="inlineStr">
        <is>
          <t>Cannot select absolute length</t>
        </is>
      </c>
      <c r="F10" s="4" t="inlineStr">
        <is>
          <t>26_EXECUTED_MATHEMATICS</t>
        </is>
      </c>
    </row>
    <row r="11">
      <c r="A11" s="4" t="inlineStr">
        <is>
          <t>CALC-010</t>
        </is>
      </c>
      <c r="B11" s="4" t="inlineStr">
        <is>
          <t>Absolute scale transformation</t>
        </is>
      </c>
      <c r="C11" s="4" t="inlineStr">
        <is>
          <t>ℓ_*→sℓ_* under physical length rescaling</t>
        </is>
      </c>
      <c r="D11" s="4" t="inlineStr">
        <is>
          <t>DERIVED</t>
        </is>
      </c>
      <c r="E11" s="4" t="inlineStr">
        <is>
          <t>Scale-selection no-go</t>
        </is>
      </c>
      <c r="F11" s="4" t="inlineStr">
        <is>
          <t>26_EXECUTED_MATHEMATICS</t>
        </is>
      </c>
    </row>
    <row r="12">
      <c r="A12" s="4" t="inlineStr">
        <is>
          <t>CALC-011</t>
        </is>
      </c>
      <c r="B12" s="4" t="inlineStr">
        <is>
          <t>Periodic lattice eigenvalues</t>
        </is>
      </c>
      <c r="C12" s="4" t="inlineStr">
        <is>
          <t>λ_N(p)=4h_N^-2 Σ sin²(h_Np_μ/2)</t>
        </is>
      </c>
      <c r="D12" s="4" t="inlineStr">
        <is>
          <t>DERIVED</t>
        </is>
      </c>
      <c r="E12" s="4" t="inlineStr">
        <is>
          <t>Explicit periodic lattice</t>
        </is>
      </c>
      <c r="F12" s="4" t="inlineStr">
        <is>
          <t>26_EXECUTED_MATHEMATICS</t>
        </is>
      </c>
    </row>
    <row r="13">
      <c r="A13" s="4" t="inlineStr">
        <is>
          <t>CALC-012</t>
        </is>
      </c>
      <c r="B13" s="4" t="inlineStr">
        <is>
          <t>Continuum expansion</t>
        </is>
      </c>
      <c r="C13" s="4" t="inlineStr">
        <is>
          <t>λ_N(p)=|p|²+O(h_N²)</t>
        </is>
      </c>
      <c r="D13" s="4" t="inlineStr">
        <is>
          <t>DERIVED</t>
        </is>
      </c>
      <c r="E13" s="4" t="inlineStr">
        <is>
          <t>h_N→0</t>
        </is>
      </c>
      <c r="F13" s="4" t="inlineStr">
        <is>
          <t>26_EXECUTED_MATHEMATICS</t>
        </is>
      </c>
    </row>
    <row r="14">
      <c r="A14" s="4" t="inlineStr">
        <is>
          <t>CALC-013</t>
        </is>
      </c>
      <c r="B14" s="4" t="inlineStr">
        <is>
          <t>Spatial metric</t>
        </is>
      </c>
      <c r="C14" s="4" t="inlineStr">
        <is>
          <t>g_ij=δ_ij</t>
        </is>
      </c>
      <c r="D14" s="4" t="inlineStr">
        <is>
          <t>CALCULATED</t>
        </is>
      </c>
      <c r="E14" s="4" t="inlineStr">
        <is>
          <t>Flat toroidal test family</t>
        </is>
      </c>
      <c r="F14" s="4" t="inlineStr">
        <is>
          <t>26_EXECUTED_MATHEMATICS</t>
        </is>
      </c>
    </row>
    <row r="15">
      <c r="A15" s="4" t="inlineStr">
        <is>
          <t>CALC-014</t>
        </is>
      </c>
      <c r="B15" s="4" t="inlineStr">
        <is>
          <t>Homogeneous scaling</t>
        </is>
      </c>
      <c r="C15" s="4" t="inlineStr">
        <is>
          <t>L(a)=a^-2L_0</t>
        </is>
      </c>
      <c r="D15" s="4" t="inlineStr">
        <is>
          <t>DERIVED</t>
        </is>
      </c>
      <c r="E15" s="4" t="inlineStr">
        <is>
          <t>B6 homogeneous rescaling</t>
        </is>
      </c>
      <c r="F15" s="4" t="inlineStr">
        <is>
          <t>26_EXECUTED_MATHEMATICS</t>
        </is>
      </c>
    </row>
    <row r="16">
      <c r="A16" s="4" t="inlineStr">
        <is>
          <t>CALC-015</t>
        </is>
      </c>
      <c r="B16" s="4" t="inlineStr">
        <is>
          <t>Operator flow</t>
        </is>
      </c>
      <c r="C16" s="4" t="inlineStr">
        <is>
          <t>dotL=-2HL</t>
        </is>
      </c>
      <c r="D16" s="4" t="inlineStr">
        <is>
          <t>DERIVED</t>
        </is>
      </c>
      <c r="E16" s="4" t="inlineStr">
        <is>
          <t>Homogeneous scaling</t>
        </is>
      </c>
      <c r="F16" s="4" t="inlineStr">
        <is>
          <t>26_EXECUTED_MATHEMATICS</t>
        </is>
      </c>
    </row>
    <row r="17">
      <c r="A17" s="4" t="inlineStr">
        <is>
          <t>CALC-016</t>
        </is>
      </c>
      <c r="B17" s="4" t="inlineStr">
        <is>
          <t>Eigenvalue flow</t>
        </is>
      </c>
      <c r="C17" s="4" t="inlineStr">
        <is>
          <t>dotλ_n=-2Hλ_n</t>
        </is>
      </c>
      <c r="D17" s="4" t="inlineStr">
        <is>
          <t>DERIVED</t>
        </is>
      </c>
      <c r="E17" s="4" t="inlineStr">
        <is>
          <t>Degenerate sectors unsplit in this scaling</t>
        </is>
      </c>
      <c r="F17" s="4" t="inlineStr">
        <is>
          <t>26_EXECUTED_MATHEMATICS</t>
        </is>
      </c>
    </row>
    <row r="18">
      <c r="A18" s="4" t="inlineStr">
        <is>
          <t>CALC-017</t>
        </is>
      </c>
      <c r="B18" s="4" t="inlineStr">
        <is>
          <t>Fixed comoving spectral set</t>
        </is>
      </c>
      <c r="C18" s="4" t="inlineStr">
        <is>
          <t>E_spec∝a^-1; ρ∝a^-4</t>
        </is>
      </c>
      <c r="D18" s="4" t="inlineStr">
        <is>
          <t>DERIVED</t>
        </is>
      </c>
      <c r="E18" s="4" t="inlineStr">
        <is>
          <t>With V_phys∝a³</t>
        </is>
      </c>
      <c r="F18" s="4" t="inlineStr">
        <is>
          <t>26_EXECUTED_MATHEMATICS</t>
        </is>
      </c>
    </row>
    <row r="19">
      <c r="A19" s="4" t="inlineStr">
        <is>
          <t>CALC-018</t>
        </is>
      </c>
      <c r="B19" s="4" t="inlineStr">
        <is>
          <t>Fixed physical cutoff continuum</t>
        </is>
      </c>
      <c r="C19" s="4" t="inlineStr">
        <is>
          <t>E_spec∝a³; ρ∝a⁰</t>
        </is>
      </c>
      <c r="D19" s="4" t="inlineStr">
        <is>
          <t>DERIVED SCALING</t>
        </is>
      </c>
      <c r="E19" s="4" t="inlineStr">
        <is>
          <t>Continuum density of states</t>
        </is>
      </c>
      <c r="F19" s="4" t="inlineStr">
        <is>
          <t>26_EXECUTED_MATHEMATICS</t>
        </is>
      </c>
    </row>
    <row r="20">
      <c r="A20" s="4" t="inlineStr">
        <is>
          <t>CALC-019</t>
        </is>
      </c>
      <c r="B20" s="4" t="inlineStr">
        <is>
          <t>3D DOS</t>
        </is>
      </c>
      <c r="C20" s="4" t="inlineStr">
        <is>
          <t>dν/dλ=√λ/(4π²)</t>
        </is>
      </c>
      <c r="D20" s="4" t="inlineStr">
        <is>
          <t>DERIVED</t>
        </is>
      </c>
      <c r="E20" s="4" t="inlineStr">
        <is>
          <t>Flat 3D continuum</t>
        </is>
      </c>
      <c r="F20" s="4" t="inlineStr">
        <is>
          <t>26_EXECUTED_MATHEMATICS</t>
        </is>
      </c>
    </row>
    <row r="21">
      <c r="A21" s="4" t="inlineStr">
        <is>
          <t>CALC-020</t>
        </is>
      </c>
      <c r="B21" s="4" t="inlineStr">
        <is>
          <t>Vacuum density</t>
        </is>
      </c>
      <c r="C21" s="4" t="inlineStr">
        <is>
          <t>ρ_vac=ħcΛ_*⁴/(16π²)</t>
        </is>
      </c>
      <c r="D21" s="4" t="inlineStr">
        <is>
          <t>DERIVED</t>
        </is>
      </c>
      <c r="E21" s="4" t="inlineStr">
        <is>
          <t>Physical cutoff prescription</t>
        </is>
      </c>
      <c r="F21" s="4" t="inlineStr">
        <is>
          <t>26_EXECUTED_MATHEMATICS</t>
        </is>
      </c>
    </row>
    <row r="22">
      <c r="A22" s="4" t="inlineStr">
        <is>
          <t>CALC-021</t>
        </is>
      </c>
      <c r="B22" s="4" t="inlineStr">
        <is>
          <t>Cosmological constant</t>
        </is>
      </c>
      <c r="C22" s="4" t="inlineStr">
        <is>
          <t>Λ_cosm=ℓ_p²Λ_*⁴/(2π)</t>
        </is>
      </c>
      <c r="D22" s="4" t="inlineStr">
        <is>
          <t>DERIVED</t>
        </is>
      </c>
      <c r="E22" s="4" t="inlineStr">
        <is>
          <t>Using ℓ_p²=ħG/c³</t>
        </is>
      </c>
      <c r="F22" s="4" t="inlineStr">
        <is>
          <t>26_EXECUTED_MATHEMATICS</t>
        </is>
      </c>
    </row>
    <row r="23">
      <c r="A23" s="4" t="inlineStr">
        <is>
          <t>CALC-022</t>
        </is>
      </c>
      <c r="B23" s="4" t="inlineStr">
        <is>
          <t>Dimensionless cutoff</t>
        </is>
      </c>
      <c r="C23" s="4" t="inlineStr">
        <is>
          <t>Xi=Λ_*ℓ_p</t>
        </is>
      </c>
      <c r="D23" s="4" t="inlineStr">
        <is>
          <t>DEFINED</t>
        </is>
      </c>
      <c r="E23" s="4" t="inlineStr">
        <is>
          <t>Dimensionless</t>
        </is>
      </c>
      <c r="F23" s="4" t="inlineStr">
        <is>
          <t>26_EXECUTED_MATHEMATICS</t>
        </is>
      </c>
    </row>
    <row r="24">
      <c r="A24" s="4" t="inlineStr">
        <is>
          <t>CALC-023</t>
        </is>
      </c>
      <c r="B24" s="4" t="inlineStr">
        <is>
          <t>Xi relation</t>
        </is>
      </c>
      <c r="C24" s="4" t="inlineStr">
        <is>
          <t>Λ_cosm=Xi⁴/(2πℓ_p²)</t>
        </is>
      </c>
      <c r="D24" s="4" t="inlineStr">
        <is>
          <t>DERIVED</t>
        </is>
      </c>
      <c r="E24" s="4" t="inlineStr">
        <is>
          <t>Downstream identity</t>
        </is>
      </c>
      <c r="F24" s="4" t="inlineStr">
        <is>
          <t>26_EXECUTED_MATHEMATICS</t>
        </is>
      </c>
    </row>
    <row r="25">
      <c r="A25" s="4" t="inlineStr">
        <is>
          <t>CALC-024</t>
        </is>
      </c>
      <c r="B25" s="4" t="inlineStr">
        <is>
          <t>Horizon area heat trace</t>
        </is>
      </c>
      <c r="C25" s="4" t="inlineStr">
        <is>
          <t>A_H=4π lim tZ_H(t)</t>
        </is>
      </c>
      <c r="D25" s="4" t="inlineStr">
        <is>
          <t>DERIVED</t>
        </is>
      </c>
      <c r="E25" s="4" t="inlineStr">
        <is>
          <t>2D continuum heat-kernel regime</t>
        </is>
      </c>
      <c r="F25" s="4" t="inlineStr">
        <is>
          <t>26_EXECUTED_MATHEMATICS</t>
        </is>
      </c>
    </row>
    <row r="26">
      <c r="A26" s="4" t="inlineStr">
        <is>
          <t>CALC-025</t>
        </is>
      </c>
      <c r="B26" s="4" t="inlineStr">
        <is>
          <t>Weyl area law coefficient</t>
        </is>
      </c>
      <c r="C26" s="4" t="inlineStr">
        <is>
          <t>N(Λ)~A_HΛ²/(4π)</t>
        </is>
      </c>
      <c r="D26" s="4" t="inlineStr">
        <is>
          <t>DERIVED</t>
        </is>
      </c>
      <c r="E26" s="4" t="inlineStr">
        <is>
          <t>2D Weyl asymptotic</t>
        </is>
      </c>
      <c r="F26" s="4" t="inlineStr">
        <is>
          <t>26_EXECUTED_MATHEMATICS</t>
        </is>
      </c>
    </row>
    <row r="27">
      <c r="A27" s="4" t="inlineStr">
        <is>
          <t>CALC-026</t>
        </is>
      </c>
      <c r="B27" s="4" t="inlineStr">
        <is>
          <t>Spectral/BH ratio</t>
        </is>
      </c>
      <c r="C27" s="4" t="inlineStr">
        <is>
          <t>N_BH=π Z_H(ℓ_p²)</t>
        </is>
      </c>
      <c r="D27" s="4" t="inlineStr">
        <is>
          <t>DERIVED CONDITION</t>
        </is>
      </c>
      <c r="E27" s="4" t="inlineStr">
        <is>
          <t>If t*=ℓ_p²</t>
        </is>
      </c>
      <c r="F27" s="4" t="inlineStr">
        <is>
          <t>26_EXECUTED_MATHEMATICS</t>
        </is>
      </c>
    </row>
    <row r="28">
      <c r="A28" s="4" t="inlineStr">
        <is>
          <t>CALC-027</t>
        </is>
      </c>
      <c r="B28" s="4" t="inlineStr">
        <is>
          <t>Information normalization condition</t>
        </is>
      </c>
      <c r="C28" s="4" t="inlineStr">
        <is>
          <t>C_H/α=π for t*=αℓ_p²</t>
        </is>
      </c>
      <c r="D28" s="4" t="inlineStr">
        <is>
          <t>ALGEBRAICALLY DERIVED</t>
        </is>
      </c>
      <c r="E28" s="4" t="inlineStr">
        <is>
          <t>Not a UOC theorem yet</t>
        </is>
      </c>
      <c r="F28" s="4" t="inlineStr">
        <is>
          <t>26_EXECUTED_MATHEMATICS</t>
        </is>
      </c>
    </row>
    <row r="29">
      <c r="A29" s="4" t="inlineStr">
        <is>
          <t>CALC-028</t>
        </is>
      </c>
      <c r="B29" s="4" t="inlineStr">
        <is>
          <t>Conditional Xi-count relation</t>
        </is>
      </c>
      <c r="C29" s="4" t="inlineStr">
        <is>
          <t>Xi=6^(1/4)π^(1/2)N_H^-1/4</t>
        </is>
      </c>
      <c r="D29" s="4" t="inlineStr">
        <is>
          <t>DERIVED</t>
        </is>
      </c>
      <c r="E29" s="4" t="inlineStr">
        <is>
          <t>Conditional horizon-information branch</t>
        </is>
      </c>
      <c r="F29" s="4" t="inlineStr">
        <is>
          <t>26_EXECUTED_MATHEMATICS</t>
        </is>
      </c>
    </row>
    <row r="30">
      <c r="A30" s="4" t="inlineStr">
        <is>
          <t>CALC-029</t>
        </is>
      </c>
      <c r="B30" s="4" t="inlineStr">
        <is>
          <t>Friedmann vacuum</t>
        </is>
      </c>
      <c r="C30" s="4" t="inlineStr">
        <is>
          <t>H²=8πGρ_vac/3</t>
        </is>
      </c>
      <c r="D30" s="4" t="inlineStr">
        <is>
          <t>DERIVED/ADMITTED</t>
        </is>
      </c>
      <c r="E30" s="4" t="inlineStr">
        <is>
          <t>k=0 vacuum EH branch</t>
        </is>
      </c>
      <c r="F30" s="4" t="inlineStr">
        <is>
          <t>26_EXECUTED_MATHEMATICS</t>
        </is>
      </c>
    </row>
    <row r="31">
      <c r="A31" s="4" t="inlineStr">
        <is>
          <t>CALC-030</t>
        </is>
      </c>
      <c r="B31" s="4" t="inlineStr">
        <is>
          <t>Scale-factor solution</t>
        </is>
      </c>
      <c r="C31" s="4" t="inlineStr">
        <is>
          <t>a(t)=a0 exp(∫Hdt)</t>
        </is>
      </c>
      <c r="D31" s="4" t="inlineStr">
        <is>
          <t>DERIVED</t>
        </is>
      </c>
      <c r="E31" s="4" t="inlineStr">
        <is>
          <t>Expanding vacuum branch</t>
        </is>
      </c>
      <c r="F31" s="4" t="inlineStr">
        <is>
          <t>26_EXECUTED_MATHEMATICS</t>
        </is>
      </c>
    </row>
    <row r="32">
      <c r="A32" s="4" t="inlineStr">
        <is>
          <t>CALC-031</t>
        </is>
      </c>
      <c r="B32" s="4" t="inlineStr">
        <is>
          <t>Constant vacuum</t>
        </is>
      </c>
      <c r="C32" s="4" t="inlineStr">
        <is>
          <t>ρ_vac=const→a∝e^{Ht}</t>
        </is>
      </c>
      <c r="D32" s="4" t="inlineStr">
        <is>
          <t>DERIVED</t>
        </is>
      </c>
      <c r="E32" s="4" t="inlineStr">
        <is>
          <t>de Sitter branch</t>
        </is>
      </c>
      <c r="F32" s="4" t="inlineStr">
        <is>
          <t>26_EXECUTED_MATHEMATICS</t>
        </is>
      </c>
    </row>
    <row r="33">
      <c r="A33" s="4" t="inlineStr">
        <is>
          <t>CALC-032</t>
        </is>
      </c>
      <c r="B33" s="4" t="inlineStr">
        <is>
          <t>Curvature-scale diagnostic</t>
        </is>
      </c>
      <c r="C33" s="4" t="inlineStr">
        <is>
          <t>ℓ_*~|R|^-1/2→H~ℓ_p^-1</t>
        </is>
      </c>
      <c r="D33" s="4" t="inlineStr">
        <is>
          <t>NO-GO DIAGNOSTIC</t>
        </is>
      </c>
      <c r="E33" s="4" t="inlineStr">
        <is>
          <t>Observed cosmological scale not reproduced</t>
        </is>
      </c>
      <c r="F33" s="4" t="inlineStr">
        <is>
          <t>26_EXECUTED_MATHEMATICS</t>
        </is>
      </c>
    </row>
    <row r="34">
      <c r="A34" s="4" t="inlineStr">
        <is>
          <t>CALC-033</t>
        </is>
      </c>
      <c r="B34" s="4" t="inlineStr">
        <is>
          <t>Gap-scale diagnostic</t>
        </is>
      </c>
      <c r="C34" s="4" t="inlineStr">
        <is>
          <t>ℓ_*=λ_1^-1/2→Z_H(λ_1^-1)=O(1)/geometry-scale</t>
        </is>
      </c>
      <c r="D34" s="4" t="inlineStr">
        <is>
          <t>NO-GO DIAGNOSTIC</t>
        </is>
      </c>
      <c r="E34" s="4" t="inlineStr">
        <is>
          <t>Not 10^122 information scale</t>
        </is>
      </c>
      <c r="F34" s="4" t="inlineStr">
        <is>
          <t>26_EXECUTED_MATHEMATICS</t>
        </is>
      </c>
    </row>
    <row r="35">
      <c r="A35" s="4" t="inlineStr">
        <is>
          <t>CALC-034</t>
        </is>
      </c>
      <c r="B35" s="4" t="inlineStr">
        <is>
          <t>UV scale</t>
        </is>
      </c>
      <c r="C35" s="4" t="inlineStr">
        <is>
          <t>ℓ_*=λ_max^-1/2→0</t>
        </is>
      </c>
      <c r="D35" s="4" t="inlineStr">
        <is>
          <t>DERIVED</t>
        </is>
      </c>
      <c r="E35" s="4" t="inlineStr">
        <is>
          <t>Refinement limit</t>
        </is>
      </c>
      <c r="F35" s="4" t="inlineStr">
        <is>
          <t>26_EXECUTED_MATHEMATICS</t>
        </is>
      </c>
    </row>
    <row r="36">
      <c r="A36" s="4" t="inlineStr">
        <is>
          <t>CALC-035</t>
        </is>
      </c>
      <c r="B36" s="4" t="inlineStr">
        <is>
          <t>Persistence threshold</t>
        </is>
      </c>
      <c r="C36" s="4" t="inlineStr">
        <is>
          <t>e^{-tλ_c}=ε→λ_c=(-ln ε)/t</t>
        </is>
      </c>
      <c r="D36" s="4" t="inlineStr">
        <is>
          <t>DERIVED</t>
        </is>
      </c>
      <c r="E36" s="4" t="inlineStr">
        <is>
          <t>ε remains a selector unless derived</t>
        </is>
      </c>
      <c r="F36" s="4" t="inlineStr">
        <is>
          <t>26_EXECUTED_MATHEMATICS</t>
        </is>
      </c>
    </row>
    <row r="37">
      <c r="A37" s="4" t="inlineStr">
        <is>
          <t>CALC-036</t>
        </is>
      </c>
      <c r="B37" s="4" t="inlineStr">
        <is>
          <t>Observed target</t>
        </is>
      </c>
      <c r="C37" s="4" t="inlineStr">
        <is>
          <t>Xi_obs≈6.50×10^-31</t>
        </is>
      </c>
      <c r="D37" s="4" t="inlineStr">
        <is>
          <t>OBSERVATIONAL TARGET</t>
        </is>
      </c>
      <c r="E37" s="4" t="inlineStr">
        <is>
          <t>Not an upstream input</t>
        </is>
      </c>
      <c r="F37" s="4" t="inlineStr">
        <is>
          <t>26_EXECUTED_MATHEMATICS</t>
        </is>
      </c>
    </row>
    <row r="38">
      <c r="A38" s="4" t="inlineStr">
        <is>
          <t>BR-BR-001</t>
        </is>
      </c>
      <c r="B38" s="4" t="inlineStr">
        <is>
          <t>Grammar composition</t>
        </is>
      </c>
      <c r="C38" s="4" t="inlineStr">
        <is>
          <t>Γ=κ∘τ∘Δ / DTC composition</t>
        </is>
      </c>
      <c r="D38" s="4" t="inlineStr">
        <is>
          <t>CERTIFIED SPINE</t>
        </is>
      </c>
      <c r="E38" s="4" t="inlineStr">
        <is>
          <t>C0 canonical uniqueness remains open</t>
        </is>
      </c>
      <c r="F38" s="4" t="inlineStr">
        <is>
          <t>22_BRIDGES</t>
        </is>
      </c>
    </row>
    <row r="39">
      <c r="A39" s="4" t="inlineStr">
        <is>
          <t>BR-BR-002</t>
        </is>
      </c>
      <c r="B39" s="4" t="inlineStr">
        <is>
          <t>Organizational evolution</t>
        </is>
      </c>
      <c r="C39" s="4" t="inlineStr">
        <is>
          <t>Evolution operator / recursive state update</t>
        </is>
      </c>
      <c r="D39" s="4" t="inlineStr">
        <is>
          <t>CERTIFIED/PARTIAL</t>
        </is>
      </c>
      <c r="E39" s="4" t="inlineStr">
        <is>
          <t>Fixed-point closure remains open</t>
        </is>
      </c>
      <c r="F39" s="4" t="inlineStr">
        <is>
          <t>22_BRIDGES</t>
        </is>
      </c>
    </row>
    <row r="40">
      <c r="A40" s="4" t="inlineStr">
        <is>
          <t>BR-BR-003</t>
        </is>
      </c>
      <c r="B40" s="4" t="inlineStr">
        <is>
          <t>Organizational state to graph</t>
        </is>
      </c>
      <c r="C40" s="4" t="inlineStr">
        <is>
          <t>Graph substrate realization</t>
        </is>
      </c>
      <c r="D40" s="4" t="inlineStr">
        <is>
          <t>CALCULATED/SCOPED</t>
        </is>
      </c>
      <c r="E40" s="4" t="inlineStr">
        <is>
          <t>Representation universality open</t>
        </is>
      </c>
      <c r="F40" s="4" t="inlineStr">
        <is>
          <t>22_BRIDGES</t>
        </is>
      </c>
    </row>
    <row r="41">
      <c r="A41" s="4" t="inlineStr">
        <is>
          <t>BR-BR-004</t>
        </is>
      </c>
      <c r="B41" s="4" t="inlineStr">
        <is>
          <t>Graph to Laplacian</t>
        </is>
      </c>
      <c r="C41" s="4" t="inlineStr">
        <is>
          <t>L=D-A</t>
        </is>
      </c>
      <c r="D41" s="4" t="inlineStr">
        <is>
          <t>CERTIFIED</t>
        </is>
      </c>
      <c r="E41" s="4" t="inlineStr">
        <is>
          <t>Graph assumptions</t>
        </is>
      </c>
      <c r="F41" s="4" t="inlineStr">
        <is>
          <t>22_BRIDGES</t>
        </is>
      </c>
    </row>
    <row r="42">
      <c r="A42" s="4" t="inlineStr">
        <is>
          <t>BR-BR-005</t>
        </is>
      </c>
      <c r="B42" s="4" t="inlineStr">
        <is>
          <t>Spectral decomposition</t>
        </is>
      </c>
      <c r="C42" s="4" t="inlineStr">
        <is>
          <t>Lφ=λφ</t>
        </is>
      </c>
      <c r="D42" s="4" t="inlineStr">
        <is>
          <t>CERTIFIED</t>
        </is>
      </c>
      <c r="E42" s="4" t="inlineStr">
        <is>
          <t>Self-adjoint/finite graph conditions</t>
        </is>
      </c>
      <c r="F42" s="4" t="inlineStr">
        <is>
          <t>22_BRIDGES</t>
        </is>
      </c>
    </row>
    <row r="43">
      <c r="A43" s="4" t="inlineStr">
        <is>
          <t>BR-BR-006</t>
        </is>
      </c>
      <c r="B43" s="4" t="inlineStr">
        <is>
          <t>Spectrum to heat semigroup</t>
        </is>
      </c>
      <c r="C43" s="4" t="inlineStr">
        <is>
          <t>e^{-tL}</t>
        </is>
      </c>
      <c r="D43" s="4" t="inlineStr">
        <is>
          <t>CERTIFIED</t>
        </is>
      </c>
      <c r="E43" s="4" t="inlineStr">
        <is>
          <t>PSD/self-adjoint</t>
        </is>
      </c>
      <c r="F43" s="4" t="inlineStr">
        <is>
          <t>22_BRIDGES</t>
        </is>
      </c>
    </row>
    <row r="44">
      <c r="A44" s="4" t="inlineStr">
        <is>
          <t>BR-BR-007</t>
        </is>
      </c>
      <c r="B44" s="4" t="inlineStr">
        <is>
          <t>Spectrum to diffusion distance</t>
        </is>
      </c>
      <c r="C44" s="4" t="inlineStr">
        <is>
          <t>d(i,j)=sqrt(Σ(...)/λ_k)</t>
        </is>
      </c>
      <c r="D44" s="4" t="inlineStr">
        <is>
          <t>CALCULATED/SCOPED</t>
        </is>
      </c>
      <c r="E44" s="4" t="inlineStr">
        <is>
          <t>Nonzero modes</t>
        </is>
      </c>
      <c r="F44" s="4" t="inlineStr">
        <is>
          <t>22_BRIDGES</t>
        </is>
      </c>
    </row>
    <row r="45">
      <c r="A45" s="4" t="inlineStr">
        <is>
          <t>BR-BR-008</t>
        </is>
      </c>
      <c r="B45" s="4" t="inlineStr">
        <is>
          <t>Distance to metric</t>
        </is>
      </c>
      <c r="C45" s="4" t="inlineStr">
        <is>
          <t>Spectral metric reconstruction</t>
        </is>
      </c>
      <c r="D45" s="4" t="inlineStr">
        <is>
          <t>CALCULATED/SCOPED</t>
        </is>
      </c>
      <c r="E45" s="4" t="inlineStr">
        <is>
          <t>Continuum/refinement assumptions</t>
        </is>
      </c>
      <c r="F45" s="4" t="inlineStr">
        <is>
          <t>22_BRIDGES</t>
        </is>
      </c>
    </row>
    <row r="46">
      <c r="A46" s="4" t="inlineStr">
        <is>
          <t>BR-BR-009</t>
        </is>
      </c>
      <c r="B46" s="4" t="inlineStr">
        <is>
          <t>Metric to connection</t>
        </is>
      </c>
      <c r="C46" s="4" t="inlineStr">
        <is>
          <t>Levi-Civita compatibility</t>
        </is>
      </c>
      <c r="D46" s="4" t="inlineStr">
        <is>
          <t>DERIVED</t>
        </is>
      </c>
      <c r="E46" s="4" t="inlineStr">
        <is>
          <t>Riemannian scope</t>
        </is>
      </c>
      <c r="F46" s="4" t="inlineStr">
        <is>
          <t>22_BRIDGES</t>
        </is>
      </c>
    </row>
    <row r="47">
      <c r="A47" s="4" t="inlineStr">
        <is>
          <t>BR-BR-010</t>
        </is>
      </c>
      <c r="B47" s="4" t="inlineStr">
        <is>
          <t>Curvature hierarchy</t>
        </is>
      </c>
      <c r="C47" s="4" t="inlineStr">
        <is>
          <t>Standard geometric contractions</t>
        </is>
      </c>
      <c r="D47" s="4" t="inlineStr">
        <is>
          <t>DERIVED</t>
        </is>
      </c>
      <c r="E47" s="4" t="inlineStr">
        <is>
          <t>Metric differentiability</t>
        </is>
      </c>
      <c r="F47" s="4" t="inlineStr">
        <is>
          <t>22_BRIDGES</t>
        </is>
      </c>
    </row>
    <row r="48">
      <c r="A48" s="4" t="inlineStr">
        <is>
          <t>BR-BR-011</t>
        </is>
      </c>
      <c r="B48" s="4" t="inlineStr">
        <is>
          <t>Einstein tensor to field equation</t>
        </is>
      </c>
      <c r="C48" s="4" t="inlineStr">
        <is>
          <t>G_μν+Λg_μν=...</t>
        </is>
      </c>
      <c r="D48" s="4" t="inlineStr">
        <is>
          <t>DERIVED/ADMITTED</t>
        </is>
      </c>
      <c r="E48" s="4" t="inlineStr">
        <is>
          <t>Matter source/coupling status version-dependent</t>
        </is>
      </c>
      <c r="F48" s="4" t="inlineStr">
        <is>
          <t>22_BRIDGES</t>
        </is>
      </c>
    </row>
    <row r="49">
      <c r="A49" s="4" t="inlineStr">
        <is>
          <t>BR-BR-012</t>
        </is>
      </c>
      <c r="B49" s="4" t="inlineStr">
        <is>
          <t>Graph Laplacian to Dirac</t>
        </is>
      </c>
      <c r="C49" s="4" t="inlineStr">
        <is>
          <t>D=√L / spectral correspondence</t>
        </is>
      </c>
      <c r="D49" s="4" t="inlineStr">
        <is>
          <t>CERTIFIED IN UCG SOURCE</t>
        </is>
      </c>
      <c r="E49" s="4" t="inlineStr">
        <is>
          <t>Scope and NCG equivalence remain a distinct issue</t>
        </is>
      </c>
      <c r="F49" s="4" t="inlineStr">
        <is>
          <t>22_BRIDGES</t>
        </is>
      </c>
    </row>
    <row r="50">
      <c r="A50" s="4" t="inlineStr">
        <is>
          <t>BR-BR-013</t>
        </is>
      </c>
      <c r="B50" s="4" t="inlineStr">
        <is>
          <t>Spectral persistence filter</t>
        </is>
      </c>
      <c r="C50" s="4" t="inlineStr">
        <is>
          <t>Contraction on ker(L)^⊥</t>
        </is>
      </c>
      <c r="D50" s="4" t="inlineStr">
        <is>
          <t>CERTIFIED</t>
        </is>
      </c>
      <c r="E50" s="4" t="inlineStr">
        <is>
          <t>Persistence interpretation open</t>
        </is>
      </c>
      <c r="F50" s="4" t="inlineStr">
        <is>
          <t>22_BRIDGES</t>
        </is>
      </c>
    </row>
    <row r="51">
      <c r="A51" s="4" t="inlineStr">
        <is>
          <t>BR-BR-014</t>
        </is>
      </c>
      <c r="B51" s="4" t="inlineStr">
        <is>
          <t>Persistence cost to field equation</t>
        </is>
      </c>
      <c r="C51" s="4" t="inlineStr">
        <is>
          <t>Euler-Lagrange</t>
        </is>
      </c>
      <c r="D51" s="4" t="inlineStr">
        <is>
          <t>CERTIFIED</t>
        </is>
      </c>
      <c r="E51" s="4" t="inlineStr">
        <is>
          <t>Functional assumptions</t>
        </is>
      </c>
      <c r="F51" s="4" t="inlineStr">
        <is>
          <t>22_BRIDGES</t>
        </is>
      </c>
    </row>
    <row r="52">
      <c r="A52" s="4" t="inlineStr">
        <is>
          <t>BR-BR-015</t>
        </is>
      </c>
      <c r="B52" s="4" t="inlineStr">
        <is>
          <t>Zero informational-loss limit</t>
        </is>
      </c>
      <c r="C52" s="4" t="inlineStr">
        <is>
          <t>I_F=0→geodesic</t>
        </is>
      </c>
      <c r="D52" s="4" t="inlineStr">
        <is>
          <t>CERTIFIED</t>
        </is>
      </c>
      <c r="E52" s="4" t="inlineStr">
        <is>
          <t>Model branch</t>
        </is>
      </c>
      <c r="F52" s="4" t="inlineStr">
        <is>
          <t>22_BRIDGES</t>
        </is>
      </c>
    </row>
    <row r="53">
      <c r="A53" s="4" t="inlineStr">
        <is>
          <t>BR-BR-016</t>
        </is>
      </c>
      <c r="B53" s="4" t="inlineStr">
        <is>
          <t>Statistical bridge</t>
        </is>
      </c>
      <c r="C53" s="4" t="inlineStr">
        <is>
          <t>Partition/free-energy chain</t>
        </is>
      </c>
      <c r="D53" s="4" t="inlineStr">
        <is>
          <t>DERIVED</t>
        </is>
      </c>
      <c r="E53" s="4" t="inlineStr">
        <is>
          <t>β=1/k_BT convention</t>
        </is>
      </c>
      <c r="F53" s="4" t="inlineStr">
        <is>
          <t>22_BRIDGES</t>
        </is>
      </c>
    </row>
    <row r="54">
      <c r="A54" s="4" t="inlineStr">
        <is>
          <t>BR-BR-017</t>
        </is>
      </c>
      <c r="B54" s="4" t="inlineStr">
        <is>
          <t>Discrete-to-continuum bridge</t>
        </is>
      </c>
      <c r="C54" s="4" t="inlineStr">
        <is>
          <t>Explicit periodic refinement family</t>
        </is>
      </c>
      <c r="D54" s="4" t="inlineStr">
        <is>
          <t>CLOSED FOR TEST FAMILY</t>
        </is>
      </c>
      <c r="E54" s="4" t="inlineStr">
        <is>
          <t>Not universal yet</t>
        </is>
      </c>
      <c r="F54" s="4" t="inlineStr">
        <is>
          <t>22_BRIDGES</t>
        </is>
      </c>
    </row>
    <row r="55">
      <c r="A55" s="4" t="inlineStr">
        <is>
          <t>BR-BR-018</t>
        </is>
      </c>
      <c r="B55" s="4" t="inlineStr">
        <is>
          <t>Heat-kernel geometric bridge</t>
        </is>
      </c>
      <c r="C55" s="4" t="inlineStr">
        <is>
          <t>Joint scaling limit</t>
        </is>
      </c>
      <c r="D55" s="4" t="inlineStr">
        <is>
          <t>CONDITIONAL/DERIVED</t>
        </is>
      </c>
      <c r="E55" s="4" t="inlineStr">
        <is>
          <t>h_N²/t→0</t>
        </is>
      </c>
      <c r="F55" s="4" t="inlineStr">
        <is>
          <t>22_BRIDGES</t>
        </is>
      </c>
    </row>
    <row r="56">
      <c r="A56" s="4" t="inlineStr">
        <is>
          <t>BR-BR-019</t>
        </is>
      </c>
      <c r="B56" s="4" t="inlineStr">
        <is>
          <t>Homogeneous scale evolution</t>
        </is>
      </c>
      <c r="C56" s="4" t="inlineStr">
        <is>
          <t>L(a)=a^-2L0</t>
        </is>
      </c>
      <c r="D56" s="4" t="inlineStr">
        <is>
          <t>DERIVED/CALCULATED</t>
        </is>
      </c>
      <c r="E56" s="4" t="inlineStr">
        <is>
          <t>Homogeneous branch</t>
        </is>
      </c>
      <c r="F56" s="4" t="inlineStr">
        <is>
          <t>22_BRIDGES</t>
        </is>
      </c>
    </row>
    <row r="57">
      <c r="A57" s="4" t="inlineStr">
        <is>
          <t>BR-BR-020</t>
        </is>
      </c>
      <c r="B57" s="4" t="inlineStr">
        <is>
          <t>Spectral vacuum bridge</t>
        </is>
      </c>
      <c r="C57" s="4" t="inlineStr">
        <is>
          <t>dν/dλ→ρ_vac</t>
        </is>
      </c>
      <c r="D57" s="4" t="inlineStr">
        <is>
          <t>DERIVED/CALCULATED</t>
        </is>
      </c>
      <c r="E57" s="4" t="inlineStr">
        <is>
          <t>3D continuum physical cutoff</t>
        </is>
      </c>
      <c r="F57" s="4" t="inlineStr">
        <is>
          <t>22_BRIDGES</t>
        </is>
      </c>
    </row>
    <row r="58">
      <c r="A58" s="4" t="inlineStr">
        <is>
          <t>BR-BR-021</t>
        </is>
      </c>
      <c r="B58" s="4" t="inlineStr">
        <is>
          <t>Horizon heat-kernel area bridge</t>
        </is>
      </c>
      <c r="C58" s="4" t="inlineStr">
        <is>
          <t>A_H=4π lim tZ_H</t>
        </is>
      </c>
      <c r="D58" s="4" t="inlineStr">
        <is>
          <t>DERIVED/CALCULATED</t>
        </is>
      </c>
      <c r="E58" s="4" t="inlineStr">
        <is>
          <t>Given legitimate horizon subsystem</t>
        </is>
      </c>
      <c r="F58" s="4" t="inlineStr">
        <is>
          <t>22_BRIDGES</t>
        </is>
      </c>
    </row>
    <row r="59">
      <c r="A59" s="4" t="inlineStr">
        <is>
          <t>BR-BR-022</t>
        </is>
      </c>
      <c r="B59" s="4" t="inlineStr">
        <is>
          <t>Spectral/BH normalization bridge</t>
        </is>
      </c>
      <c r="C59" s="4" t="inlineStr">
        <is>
          <t>N_BH=πZ_H(ℓ_p²)</t>
        </is>
      </c>
      <c r="D59" s="4" t="inlineStr">
        <is>
          <t>ALGEBRAIC CONDITION</t>
        </is>
      </c>
      <c r="E59" s="4" t="inlineStr">
        <is>
          <t>π origin not derived</t>
        </is>
      </c>
      <c r="F59" s="4" t="inlineStr">
        <is>
          <t>22_BRIDGES</t>
        </is>
      </c>
    </row>
    <row r="60">
      <c r="A60" s="4" t="inlineStr">
        <is>
          <t>BR-BR-023</t>
        </is>
      </c>
      <c r="B60" s="4" t="inlineStr">
        <is>
          <t>Information-to-cutoff bridge</t>
        </is>
      </c>
      <c r="C60" s="4" t="inlineStr">
        <is>
          <t>Ξ=6^(1/4)π^(1/2)N_H^-1/4</t>
        </is>
      </c>
      <c r="D60" s="4" t="inlineStr">
        <is>
          <t>CONDITIONAL DOWNSTREAM</t>
        </is>
      </c>
      <c r="E60" s="4" t="inlineStr">
        <is>
          <t>Requires non-circular N_H</t>
        </is>
      </c>
      <c r="F60" s="4" t="inlineStr">
        <is>
          <t>22_BRIDGES</t>
        </is>
      </c>
    </row>
    <row r="61">
      <c r="A61" s="4" t="inlineStr">
        <is>
          <t>BR-BR-024</t>
        </is>
      </c>
      <c r="B61" s="4" t="inlineStr">
        <is>
          <t>Cutoff to vacuum bridge</t>
        </is>
      </c>
      <c r="C61" s="4" t="inlineStr">
        <is>
          <t>Λ_*=Ξ/ℓ_p; ρ_vac=...</t>
        </is>
      </c>
      <c r="D61" s="4" t="inlineStr">
        <is>
          <t>DERIVED GIVEN Ξ</t>
        </is>
      </c>
      <c r="E61" s="4" t="inlineStr">
        <is>
          <t>Scale anchor remains upstream</t>
        </is>
      </c>
      <c r="F61" s="4" t="inlineStr">
        <is>
          <t>22_BRIDGES</t>
        </is>
      </c>
    </row>
    <row r="62">
      <c r="A62" s="4" t="inlineStr">
        <is>
          <t>BR-BR-025</t>
        </is>
      </c>
      <c r="B62" s="4" t="inlineStr">
        <is>
          <t>Cosmological dynamics bridge</t>
        </is>
      </c>
      <c r="C62" s="4" t="inlineStr">
        <is>
          <t>Friedmann/de Sitter</t>
        </is>
      </c>
      <c r="D62" s="4" t="inlineStr">
        <is>
          <t>DOWNSTREAM CLOSED GIVEN INPUT</t>
        </is>
      </c>
      <c r="E62" s="4" t="inlineStr">
        <is>
          <t>Vacuum branch</t>
        </is>
      </c>
      <c r="F62" s="4" t="inlineStr">
        <is>
          <t>22_BRIDGES</t>
        </is>
      </c>
    </row>
  </sheetData>
  <autoFilter ref="A1:F62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55" customWidth="1" min="3" max="3"/>
    <col width="20" customWidth="1" min="4" max="4"/>
  </cols>
  <sheetData>
    <row r="1">
      <c r="A1" s="3" t="inlineStr">
        <is>
          <t>Entry ID</t>
        </is>
      </c>
      <c r="B1" s="3" t="inlineStr">
        <is>
          <t>Statement (abbreviated)</t>
        </is>
      </c>
      <c r="C1" s="3" t="inlineStr">
        <is>
          <t>Direct Predecessors</t>
        </is>
      </c>
      <c r="D1" s="3" t="inlineStr">
        <is>
          <t>Status</t>
        </is>
      </c>
    </row>
    <row r="2">
      <c r="A2" s="4" t="inlineStr">
        <is>
          <t>PRIM-G-001</t>
        </is>
      </c>
      <c r="B2" s="4" t="inlineStr">
        <is>
          <t>Delta (Distinction)</t>
        </is>
      </c>
      <c r="C2" s="4" t="inlineStr">
        <is>
          <t>None</t>
        </is>
      </c>
      <c r="D2" s="4" t="inlineStr">
        <is>
          <t>CERTIFIED</t>
        </is>
      </c>
    </row>
    <row r="3">
      <c r="A3" s="4" t="inlineStr">
        <is>
          <t>PRIM-G-002</t>
        </is>
      </c>
      <c r="B3" s="4" t="inlineStr">
        <is>
          <t>tau (Transformation)</t>
        </is>
      </c>
      <c r="C3" s="4" t="inlineStr">
        <is>
          <t>None</t>
        </is>
      </c>
      <c r="D3" s="4" t="inlineStr">
        <is>
          <t>CERTIFIED</t>
        </is>
      </c>
    </row>
    <row r="4">
      <c r="A4" s="4" t="inlineStr">
        <is>
          <t>PRIM-G-003</t>
        </is>
      </c>
      <c r="B4" s="4" t="inlineStr">
        <is>
          <t>kappa (Constraint)</t>
        </is>
      </c>
      <c r="C4" s="4" t="inlineStr">
        <is>
          <t>None</t>
        </is>
      </c>
      <c r="D4" s="4" t="inlineStr">
        <is>
          <t>CERTIFIED</t>
        </is>
      </c>
    </row>
    <row r="5">
      <c r="A5" s="4" t="inlineStr">
        <is>
          <t>PRIM-G-004</t>
        </is>
      </c>
      <c r="B5" s="4" t="inlineStr">
        <is>
          <t>Pi (Persistence)</t>
        </is>
      </c>
      <c r="C5" s="4" t="inlineStr">
        <is>
          <t>None</t>
        </is>
      </c>
      <c r="D5" s="4" t="inlineStr">
        <is>
          <t>CERTIFIED</t>
        </is>
      </c>
    </row>
    <row r="6">
      <c r="A6" s="4" t="inlineStr">
        <is>
          <t>PRIM-P-001</t>
        </is>
      </c>
      <c r="B6" s="4" t="inlineStr">
        <is>
          <t>E (Energy)</t>
        </is>
      </c>
      <c r="C6" s="4" t="inlineStr">
        <is>
          <t>None</t>
        </is>
      </c>
      <c r="D6" s="4" t="inlineStr">
        <is>
          <t>CERTIFIED</t>
        </is>
      </c>
    </row>
    <row r="7">
      <c r="A7" s="4" t="inlineStr">
        <is>
          <t>PRIM-C-001</t>
        </is>
      </c>
      <c r="B7" s="4" t="inlineStr">
        <is>
          <t>B=(U,V,E) (Bipartite substrate)</t>
        </is>
      </c>
      <c r="C7" s="4" t="inlineStr">
        <is>
          <t>None</t>
        </is>
      </c>
      <c r="D7" s="4" t="inlineStr">
        <is>
          <t>CERTIFIED</t>
        </is>
      </c>
    </row>
    <row r="8">
      <c r="A8" s="4" t="inlineStr">
        <is>
          <t>AX-SDR-001..005</t>
        </is>
      </c>
      <c r="B8" s="4" t="inlineStr">
        <is>
          <t>Strict Dependency Relation axioms</t>
        </is>
      </c>
      <c r="C8" s="4" t="inlineStr">
        <is>
          <t>None</t>
        </is>
      </c>
      <c r="D8" s="4" t="inlineStr">
        <is>
          <t>CERTIFIED</t>
        </is>
      </c>
    </row>
    <row r="9">
      <c r="A9" s="4" t="inlineStr">
        <is>
          <t>DER-ORG-001</t>
        </is>
      </c>
      <c r="B9" s="4" t="inlineStr">
        <is>
          <t>Grammar G = {D,T,C}</t>
        </is>
      </c>
      <c r="C9" s="4" t="inlineStr">
        <is>
          <t>PRIM-G-001,002,003</t>
        </is>
      </c>
      <c r="D9" s="4" t="inlineStr">
        <is>
          <t>CERTIFIED</t>
        </is>
      </c>
    </row>
    <row r="10">
      <c r="A10" s="4" t="inlineStr">
        <is>
          <t>DER-ORG-002</t>
        </is>
      </c>
      <c r="B10" s="4" t="inlineStr">
        <is>
          <t>State evolution Psi_{t+1}=C(T(D Psi_t))</t>
        </is>
      </c>
      <c r="C10" s="4" t="inlineStr">
        <is>
          <t>ORG-001</t>
        </is>
      </c>
      <c r="D10" s="4" t="inlineStr">
        <is>
          <t>CERTIFIED</t>
        </is>
      </c>
    </row>
    <row r="11">
      <c r="A11" s="4" t="inlineStr">
        <is>
          <t>DER-ORG-003</t>
        </is>
      </c>
      <c r="B11" s="4" t="inlineStr">
        <is>
          <t>Persistence fixed point</t>
        </is>
      </c>
      <c r="C11" s="4" t="inlineStr">
        <is>
          <t>ORG-002</t>
        </is>
      </c>
      <c r="D11" s="4" t="inlineStr">
        <is>
          <t>CERTIFIED</t>
        </is>
      </c>
    </row>
    <row r="12">
      <c r="A12" s="4" t="inlineStr">
        <is>
          <t>DER-ORG-004</t>
        </is>
      </c>
      <c r="B12" s="4" t="inlineStr">
        <is>
          <t>Recursive generativity Pi=&gt;Delta'</t>
        </is>
      </c>
      <c r="C12" s="4" t="inlineStr">
        <is>
          <t>ORG-003</t>
        </is>
      </c>
      <c r="D12" s="4" t="inlineStr">
        <is>
          <t>CERTIFIED</t>
        </is>
      </c>
    </row>
    <row r="13">
      <c r="A13" s="4" t="inlineStr">
        <is>
          <t>DER-ORG-005</t>
        </is>
      </c>
      <c r="B13" s="4" t="inlineStr">
        <is>
          <t>Compiler interface</t>
        </is>
      </c>
      <c r="C13" s="4" t="inlineStr">
        <is>
          <t>ORG-001, SPC-001</t>
        </is>
      </c>
      <c r="D13" s="4" t="inlineStr">
        <is>
          <t>CERTIFIED</t>
        </is>
      </c>
    </row>
    <row r="14">
      <c r="A14" s="4" t="inlineStr">
        <is>
          <t>DER-SPC-001</t>
        </is>
      </c>
      <c r="B14" s="4" t="inlineStr">
        <is>
          <t>Graph G=(V,E)</t>
        </is>
      </c>
      <c r="C14" s="4" t="inlineStr">
        <is>
          <t>ORG-001</t>
        </is>
      </c>
      <c r="D14" s="4" t="inlineStr">
        <is>
          <t>CERTIFIED</t>
        </is>
      </c>
    </row>
    <row r="15">
      <c r="A15" s="4" t="inlineStr">
        <is>
          <t>DER-SPC-002</t>
        </is>
      </c>
      <c r="B15" s="4" t="inlineStr">
        <is>
          <t>Laplacian L=D-A</t>
        </is>
      </c>
      <c r="C15" s="4" t="inlineStr">
        <is>
          <t>SPC-001</t>
        </is>
      </c>
      <c r="D15" s="4" t="inlineStr">
        <is>
          <t>CERTIFIED</t>
        </is>
      </c>
    </row>
    <row r="16">
      <c r="A16" s="4" t="inlineStr">
        <is>
          <t>DER-SPC-003</t>
        </is>
      </c>
      <c r="B16" s="4" t="inlineStr">
        <is>
          <t>Spectrum Spec(L)</t>
        </is>
      </c>
      <c r="C16" s="4" t="inlineStr">
        <is>
          <t>SPC-002</t>
        </is>
      </c>
      <c r="D16" s="4" t="inlineStr">
        <is>
          <t>CERTIFIED</t>
        </is>
      </c>
    </row>
    <row r="17">
      <c r="A17" s="4" t="inlineStr">
        <is>
          <t>DER-SPC-004</t>
        </is>
      </c>
      <c r="B17" s="4" t="inlineStr">
        <is>
          <t>Heat kernel K_t</t>
        </is>
      </c>
      <c r="C17" s="4" t="inlineStr">
        <is>
          <t>SPC-003</t>
        </is>
      </c>
      <c r="D17" s="4" t="inlineStr">
        <is>
          <t>CERTIFIED</t>
        </is>
      </c>
    </row>
    <row r="18">
      <c r="A18" s="4" t="inlineStr">
        <is>
          <t>DER-SPC-005</t>
        </is>
      </c>
      <c r="B18" s="4" t="inlineStr">
        <is>
          <t>Persistence operator R</t>
        </is>
      </c>
      <c r="C18" s="4" t="inlineStr">
        <is>
          <t>SPC-003</t>
        </is>
      </c>
      <c r="D18" s="4" t="inlineStr">
        <is>
          <t>CERTIFIED</t>
        </is>
      </c>
    </row>
    <row r="19">
      <c r="A19" s="4" t="inlineStr">
        <is>
          <t>DER-VAR-001</t>
        </is>
      </c>
      <c r="B19" s="4" t="inlineStr">
        <is>
          <t>Persistence Cost Functional</t>
        </is>
      </c>
      <c r="C19" s="4" t="inlineStr">
        <is>
          <t>GEO-001, SPC-003</t>
        </is>
      </c>
      <c r="D19" s="4" t="inlineStr">
        <is>
          <t>CERTIFIED</t>
        </is>
      </c>
    </row>
    <row r="20">
      <c r="A20" s="4" t="inlineStr">
        <is>
          <t>DER-VAR-002</t>
        </is>
      </c>
      <c r="B20" s="4" t="inlineStr">
        <is>
          <t>Universal Persistence Field Equation</t>
        </is>
      </c>
      <c r="C20" s="4" t="inlineStr">
        <is>
          <t>VAR-001</t>
        </is>
      </c>
      <c r="D20" s="4" t="inlineStr">
        <is>
          <t>CERTIFIED</t>
        </is>
      </c>
    </row>
    <row r="21">
      <c r="A21" s="4" t="inlineStr">
        <is>
          <t>DER-VAR-003</t>
        </is>
      </c>
      <c r="B21" s="4" t="inlineStr">
        <is>
          <t>Legendre transform</t>
        </is>
      </c>
      <c r="C21" s="4" t="inlineStr">
        <is>
          <t>VAR-002</t>
        </is>
      </c>
      <c r="D21" s="4" t="inlineStr">
        <is>
          <t>CERTIFIED</t>
        </is>
      </c>
    </row>
    <row r="22">
      <c r="A22" s="4" t="inlineStr">
        <is>
          <t>DER-VAR-004</t>
        </is>
      </c>
      <c r="B22" s="4" t="inlineStr">
        <is>
          <t>Einstein-Hilbert action</t>
        </is>
      </c>
      <c r="C22" s="4" t="inlineStr">
        <is>
          <t>GEO-005</t>
        </is>
      </c>
      <c r="D22" s="4" t="inlineStr">
        <is>
          <t>CERTIFIED</t>
        </is>
      </c>
    </row>
    <row r="23">
      <c r="A23" s="4" t="inlineStr">
        <is>
          <t>DER-VAR-005</t>
        </is>
      </c>
      <c r="B23" s="4" t="inlineStr">
        <is>
          <t>Einstein field equations</t>
        </is>
      </c>
      <c r="C23" s="4" t="inlineStr">
        <is>
          <t>VAR-004, GEO-006</t>
        </is>
      </c>
      <c r="D23" s="4" t="inlineStr">
        <is>
          <t>CERTIFIED</t>
        </is>
      </c>
    </row>
    <row r="24">
      <c r="A24" s="4" t="inlineStr">
        <is>
          <t>DER-GEO-001</t>
        </is>
      </c>
      <c r="B24" s="4" t="inlineStr">
        <is>
          <t>Spectral metric g_{ab}</t>
        </is>
      </c>
      <c r="C24" s="4" t="inlineStr">
        <is>
          <t>SPC-003</t>
        </is>
      </c>
      <c r="D24" s="4" t="inlineStr">
        <is>
          <t>CERTIFIED</t>
        </is>
      </c>
    </row>
    <row r="25">
      <c r="A25" s="4" t="inlineStr">
        <is>
          <t>DER-GEO-002</t>
        </is>
      </c>
      <c r="B25" s="4" t="inlineStr">
        <is>
          <t>Levi-Civita connection Gamma^c_{ab}</t>
        </is>
      </c>
      <c r="C25" s="4" t="inlineStr">
        <is>
          <t>GEO-001</t>
        </is>
      </c>
      <c r="D25" s="4" t="inlineStr">
        <is>
          <t>CERTIFIED</t>
        </is>
      </c>
    </row>
    <row r="26">
      <c r="A26" s="4" t="inlineStr">
        <is>
          <t>DER-GEO-003</t>
        </is>
      </c>
      <c r="B26" s="4" t="inlineStr">
        <is>
          <t>Riemann tensor R^rho_{sig ab}</t>
        </is>
      </c>
      <c r="C26" s="4" t="inlineStr">
        <is>
          <t>GEO-002</t>
        </is>
      </c>
      <c r="D26" s="4" t="inlineStr">
        <is>
          <t>CERTIFIED</t>
        </is>
      </c>
    </row>
    <row r="27">
      <c r="A27" s="4" t="inlineStr">
        <is>
          <t>DER-GEO-004</t>
        </is>
      </c>
      <c r="B27" s="4" t="inlineStr">
        <is>
          <t>Ricci tensor R_{ab}</t>
        </is>
      </c>
      <c r="C27" s="4" t="inlineStr">
        <is>
          <t>GEO-003</t>
        </is>
      </c>
      <c r="D27" s="4" t="inlineStr">
        <is>
          <t>CERTIFIED</t>
        </is>
      </c>
    </row>
    <row r="28">
      <c r="A28" s="4" t="inlineStr">
        <is>
          <t>DER-GEO-005</t>
        </is>
      </c>
      <c r="B28" s="4" t="inlineStr">
        <is>
          <t>Ricci scalar R</t>
        </is>
      </c>
      <c r="C28" s="4" t="inlineStr">
        <is>
          <t>GEO-004</t>
        </is>
      </c>
      <c r="D28" s="4" t="inlineStr">
        <is>
          <t>CERTIFIED</t>
        </is>
      </c>
    </row>
    <row r="29">
      <c r="A29" s="4" t="inlineStr">
        <is>
          <t>DER-GEO-006</t>
        </is>
      </c>
      <c r="B29" s="4" t="inlineStr">
        <is>
          <t>Einstein tensor G_{ab}</t>
        </is>
      </c>
      <c r="C29" s="4" t="inlineStr">
        <is>
          <t>GEO-005</t>
        </is>
      </c>
      <c r="D29" s="4" t="inlineStr">
        <is>
          <t>CERTIFIED</t>
        </is>
      </c>
    </row>
    <row r="30">
      <c r="A30" s="4" t="inlineStr">
        <is>
          <t>DER-GAU-001</t>
        </is>
      </c>
      <c r="B30" s="4" t="inlineStr">
        <is>
          <t>Gauge connection A_mu</t>
        </is>
      </c>
      <c r="C30" s="4" t="inlineStr">
        <is>
          <t>SPC-002</t>
        </is>
      </c>
      <c r="D30" s="4" t="inlineStr">
        <is>
          <t>CERTIFIED</t>
        </is>
      </c>
    </row>
    <row r="31">
      <c r="A31" s="4" t="inlineStr">
        <is>
          <t>DER-GAU-002</t>
        </is>
      </c>
      <c r="B31" s="4" t="inlineStr">
        <is>
          <t>Field strength F_{ab}</t>
        </is>
      </c>
      <c r="C31" s="4" t="inlineStr">
        <is>
          <t>GAU-001</t>
        </is>
      </c>
      <c r="D31" s="4" t="inlineStr">
        <is>
          <t>CERTIFIED</t>
        </is>
      </c>
    </row>
    <row r="32">
      <c r="A32" s="4" t="inlineStr">
        <is>
          <t>DER-GAU-003</t>
        </is>
      </c>
      <c r="B32" s="4" t="inlineStr">
        <is>
          <t>Covariant derivative D_mu</t>
        </is>
      </c>
      <c r="C32" s="4" t="inlineStr">
        <is>
          <t>GAU-001, GEO-002</t>
        </is>
      </c>
      <c r="D32" s="4" t="inlineStr">
        <is>
          <t>CERTIFIED</t>
        </is>
      </c>
    </row>
    <row r="33">
      <c r="A33" s="4" t="inlineStr">
        <is>
          <t>DER-GAU-004</t>
        </is>
      </c>
      <c r="B33" s="4" t="inlineStr">
        <is>
          <t>Yang-Mills equations</t>
        </is>
      </c>
      <c r="C33" s="4" t="inlineStr">
        <is>
          <t>GAU-002, GAU-003</t>
        </is>
      </c>
      <c r="D33" s="4" t="inlineStr">
        <is>
          <t>CERTIFIED</t>
        </is>
      </c>
    </row>
    <row r="34">
      <c r="A34" s="4" t="inlineStr">
        <is>
          <t>DER-QR-001</t>
        </is>
      </c>
      <c r="B34" s="4" t="inlineStr">
        <is>
          <t>Hilbert space H</t>
        </is>
      </c>
      <c r="C34" s="4" t="inlineStr">
        <is>
          <t>SPC-003</t>
        </is>
      </c>
      <c r="D34" s="4" t="inlineStr">
        <is>
          <t>CERTIFIED</t>
        </is>
      </c>
    </row>
    <row r="35">
      <c r="A35" s="4" t="inlineStr">
        <is>
          <t>DER-QR-002</t>
        </is>
      </c>
      <c r="B35" s="4" t="inlineStr">
        <is>
          <t>Schrodinger equation</t>
        </is>
      </c>
      <c r="C35" s="4" t="inlineStr">
        <is>
          <t>QR-001, SPC-003</t>
        </is>
      </c>
      <c r="D35" s="4" t="inlineStr">
        <is>
          <t>CERTIFIED</t>
        </is>
      </c>
    </row>
    <row r="36">
      <c r="A36" s="4" t="inlineStr">
        <is>
          <t>DER-QR-003</t>
        </is>
      </c>
      <c r="B36" s="4" t="inlineStr">
        <is>
          <t>Heisenberg equation</t>
        </is>
      </c>
      <c r="C36" s="4" t="inlineStr">
        <is>
          <t>QR-002</t>
        </is>
      </c>
      <c r="D36" s="4" t="inlineStr">
        <is>
          <t>CERTIFIED</t>
        </is>
      </c>
    </row>
    <row r="37">
      <c r="A37" s="4" t="inlineStr">
        <is>
          <t>DER-QR-004</t>
        </is>
      </c>
      <c r="B37" s="4" t="inlineStr">
        <is>
          <t>Uncertainty relation</t>
        </is>
      </c>
      <c r="C37" s="4" t="inlineStr">
        <is>
          <t>QR-003</t>
        </is>
      </c>
      <c r="D37" s="4" t="inlineStr">
        <is>
          <t>CERTIFIED</t>
        </is>
      </c>
    </row>
    <row r="38">
      <c r="A38" s="4" t="inlineStr">
        <is>
          <t>DER-QR-005</t>
        </is>
      </c>
      <c r="B38" s="4" t="inlineStr">
        <is>
          <t>Clifford algebra</t>
        </is>
      </c>
      <c r="C38" s="4" t="inlineStr">
        <is>
          <t>GEO-001</t>
        </is>
      </c>
      <c r="D38" s="4" t="inlineStr">
        <is>
          <t>CERTIFIED</t>
        </is>
      </c>
    </row>
    <row r="39">
      <c r="A39" s="4" t="inlineStr">
        <is>
          <t>DER-QR-006</t>
        </is>
      </c>
      <c r="B39" s="4" t="inlineStr">
        <is>
          <t>Dirac operator</t>
        </is>
      </c>
      <c r="C39" s="4" t="inlineStr">
        <is>
          <t>QR-005, GAU-003</t>
        </is>
      </c>
      <c r="D39" s="4" t="inlineStr">
        <is>
          <t>CERTIFIED</t>
        </is>
      </c>
    </row>
    <row r="40">
      <c r="A40" s="4" t="inlineStr">
        <is>
          <t>DER-QR-007</t>
        </is>
      </c>
      <c r="B40" s="4" t="inlineStr">
        <is>
          <t>Spin recovery</t>
        </is>
      </c>
      <c r="C40" s="4" t="inlineStr">
        <is>
          <t>QR-006</t>
        </is>
      </c>
      <c r="D40" s="4" t="inlineStr">
        <is>
          <t>CERTIFIED</t>
        </is>
      </c>
    </row>
    <row r="41">
      <c r="A41" s="4" t="inlineStr">
        <is>
          <t>DER-QR-008</t>
        </is>
      </c>
      <c r="B41" s="4" t="inlineStr">
        <is>
          <t>Magnetic moment</t>
        </is>
      </c>
      <c r="C41" s="4" t="inlineStr">
        <is>
          <t>QR-007, GAU-001</t>
        </is>
      </c>
      <c r="D41" s="4" t="inlineStr">
        <is>
          <t>CERTIFIED</t>
        </is>
      </c>
    </row>
    <row r="42">
      <c r="A42" s="4" t="inlineStr">
        <is>
          <t>DER-TRC-001</t>
        </is>
      </c>
      <c r="B42" s="4" t="inlineStr">
        <is>
          <t>Internal energy (first law)</t>
        </is>
      </c>
      <c r="C42" s="4" t="inlineStr">
        <is>
          <t>PRIM-P-001</t>
        </is>
      </c>
      <c r="D42" s="4" t="inlineStr">
        <is>
          <t>CERTIFIED</t>
        </is>
      </c>
    </row>
    <row r="43">
      <c r="A43" s="4" t="inlineStr">
        <is>
          <t>DER-TRC-002</t>
        </is>
      </c>
      <c r="B43" s="4" t="inlineStr">
        <is>
          <t>Entropy S=k_B ln W</t>
        </is>
      </c>
      <c r="C43" s="4" t="inlineStr">
        <is>
          <t>TRC-001</t>
        </is>
      </c>
      <c r="D43" s="4" t="inlineStr">
        <is>
          <t>CERTIFIED</t>
        </is>
      </c>
    </row>
    <row r="44">
      <c r="A44" s="4" t="inlineStr">
        <is>
          <t>DER-TRC-003</t>
        </is>
      </c>
      <c r="B44" s="4" t="inlineStr">
        <is>
          <t>Entropy flux J_s=J_q/T</t>
        </is>
      </c>
      <c r="C44" s="4" t="inlineStr">
        <is>
          <t>TRC-002</t>
        </is>
      </c>
      <c r="D44" s="4" t="inlineStr">
        <is>
          <t>CERTIFIED</t>
        </is>
      </c>
    </row>
    <row r="45">
      <c r="A45" s="4" t="inlineStr">
        <is>
          <t>DER-TRC-004</t>
        </is>
      </c>
      <c r="B45" s="4" t="inlineStr">
        <is>
          <t>Clausius-Duhem inequality</t>
        </is>
      </c>
      <c r="C45" s="4" t="inlineStr">
        <is>
          <t>TRC-002, TRC-003</t>
        </is>
      </c>
      <c r="D45" s="4" t="inlineStr">
        <is>
          <t>CERTIFIED</t>
        </is>
      </c>
    </row>
    <row r="46">
      <c r="A46" s="4" t="inlineStr">
        <is>
          <t>DER-TRC-005</t>
        </is>
      </c>
      <c r="B46" s="4" t="inlineStr">
        <is>
          <t>Fourier heat flux J_q=-kappa nabla T</t>
        </is>
      </c>
      <c r="C46" s="4" t="inlineStr">
        <is>
          <t>TRC-003</t>
        </is>
      </c>
      <c r="D46" s="4" t="inlineStr">
        <is>
          <t>CERTIFIED</t>
        </is>
      </c>
    </row>
    <row r="47">
      <c r="A47" s="4" t="inlineStr">
        <is>
          <t>CMRC-001..019</t>
        </is>
      </c>
      <c r="B47" s="4" t="inlineStr">
        <is>
          <t>Conformal Math Recovery Core (complete)</t>
        </is>
      </c>
      <c r="C47" s="4" t="inlineStr">
        <is>
          <t>PRIM-G-001,002,003</t>
        </is>
      </c>
      <c r="D47" s="4" t="inlineStr">
        <is>
          <t>CERTIFIED</t>
        </is>
      </c>
    </row>
    <row r="48">
      <c r="A48" s="4" t="inlineStr">
        <is>
          <t>VAL-001</t>
        </is>
      </c>
      <c r="B48" s="4" t="inlineStr">
        <is>
          <t>String Theory (bosonic, critical dim=26)</t>
        </is>
      </c>
      <c r="C48" s="4" t="inlineStr">
        <is>
          <t>CMRC-001..019</t>
        </is>
      </c>
      <c r="D48" s="4" t="inlineStr">
        <is>
          <t>CERTIFIED</t>
        </is>
      </c>
    </row>
    <row r="49">
      <c r="A49" s="4" t="inlineStr">
        <is>
          <t>VAL-002</t>
        </is>
      </c>
      <c r="B49" s="4" t="inlineStr">
        <is>
          <t>Maxwell Electrodynamics</t>
        </is>
      </c>
      <c r="C49" s="4" t="inlineStr">
        <is>
          <t>DER-GAU-001..004</t>
        </is>
      </c>
      <c r="D49" s="4" t="inlineStr">
        <is>
          <t>CERTIFIED</t>
        </is>
      </c>
    </row>
    <row r="50">
      <c r="A50" s="4" t="inlineStr">
        <is>
          <t>VAL-003</t>
        </is>
      </c>
      <c r="B50" s="4" t="inlineStr">
        <is>
          <t>GR Matter Coupling</t>
        </is>
      </c>
      <c r="C50" s="4" t="inlineStr">
        <is>
          <t>DER-VAR-005, DER-TRC-001</t>
        </is>
      </c>
      <c r="D50" s="4" t="inlineStr">
        <is>
          <t>CERTIFIED</t>
        </is>
      </c>
    </row>
    <row r="51">
      <c r="A51" s="4" t="inlineStr">
        <is>
          <t>VAL-004</t>
        </is>
      </c>
      <c r="B51" s="4" t="inlineStr">
        <is>
          <t>Quantum Mechanics</t>
        </is>
      </c>
      <c r="C51" s="4" t="inlineStr">
        <is>
          <t>DER-QR-001..006</t>
        </is>
      </c>
      <c r="D51" s="4" t="inlineStr">
        <is>
          <t>CERTIFIED</t>
        </is>
      </c>
    </row>
    <row r="52">
      <c r="A52" s="4" t="inlineStr">
        <is>
          <t>VAL-005</t>
        </is>
      </c>
      <c r="B52" s="4" t="inlineStr">
        <is>
          <t>Hamiltonian Mechanics</t>
        </is>
      </c>
      <c r="C52" s="4" t="inlineStr">
        <is>
          <t>DER-VAR-003, DER-QR-001</t>
        </is>
      </c>
      <c r="D52" s="4" t="inlineStr">
        <is>
          <t>CERTIFIED</t>
        </is>
      </c>
    </row>
    <row r="53">
      <c r="A53" s="4" t="inlineStr">
        <is>
          <t>THM-ANOM</t>
        </is>
      </c>
      <c r="B53" s="4" t="inlineStr">
        <is>
          <t>G_SM = SU(3)xSU(2)xU(1) derivation</t>
        </is>
      </c>
      <c r="C53" s="4" t="inlineStr">
        <is>
          <t>DER-QR-006</t>
        </is>
      </c>
      <c r="D53" s="4" t="inlineStr">
        <is>
          <t>CERTIFIED</t>
        </is>
      </c>
    </row>
  </sheetData>
  <autoFilter ref="A1:D53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100" customWidth="1" min="3" max="3"/>
    <col width="18" customWidth="1" min="4" max="4"/>
  </cols>
  <sheetData>
    <row r="1">
      <c r="A1" s="3" t="inlineStr">
        <is>
          <t>ID</t>
        </is>
      </c>
      <c r="B1" s="3" t="inlineStr">
        <is>
          <t>Theorem</t>
        </is>
      </c>
      <c r="C1" s="3" t="inlineStr">
        <is>
          <t>Basis / Statement</t>
        </is>
      </c>
      <c r="D1" s="3" t="inlineStr">
        <is>
          <t>Status</t>
        </is>
      </c>
    </row>
    <row r="2">
      <c r="A2" s="4" t="inlineStr">
        <is>
          <t>RF-001</t>
        </is>
      </c>
      <c r="B2" s="4" t="inlineStr">
        <is>
          <t>Well-Definedness: R: Graph_ARBS -&gt; Field(M) exists as a covariant functor independent of graph approximation sequence</t>
        </is>
      </c>
      <c r="C2" s="4" t="inlineStr">
        <is>
          <t>Mosco convergence (Kato's Rep. Theorem) + Gromov-Hausdorff + Trotter-Kato. Internal: TH-Pi-003, TH-Pi-006, UCE-001</t>
        </is>
      </c>
      <c r="D2" s="4" t="inlineStr">
        <is>
          <t>CERTIFIED</t>
        </is>
      </c>
    </row>
    <row r="3">
      <c r="A3" s="4" t="inlineStr">
        <is>
          <t>RF-002</t>
        </is>
      </c>
      <c r="B3" s="4" t="inlineStr">
        <is>
          <t>Functoriality: R(id_G)=id_{R(G)} and R(g o f)=R(g) o R(f)</t>
        </is>
      </c>
      <c r="C3" s="4" t="inlineStr">
        <is>
          <t>Strong operator topology: lim of bounded linear products = product of limits. Internal: RF-001, CP-001</t>
        </is>
      </c>
      <c r="D3" s="4" t="inlineStr">
        <is>
          <t>CERTIFIED</t>
        </is>
      </c>
    </row>
    <row r="4">
      <c r="A4" s="4" t="inlineStr">
        <is>
          <t>RF-003</t>
        </is>
      </c>
      <c r="B4" s="4" t="inlineStr">
        <is>
          <t>Convergence: G_n -&gt;^GH (M,g) =&gt; E_n -&gt;^Mosco E =&gt; L_n -&gt;^s.r. L =&gt; T_n(t) -&gt;^s T(t)</t>
        </is>
      </c>
      <c r="C4" s="4" t="inlineStr">
        <is>
          <t>Kato's First Rep. Theorem (Mosco-&gt;s.r.) + Trotter-Kato (s.r.-&gt;semigroup)</t>
        </is>
      </c>
      <c r="D4" s="4" t="inlineStr">
        <is>
          <t>CERTIFIED</t>
        </is>
      </c>
    </row>
    <row r="5">
      <c r="A5" s="4" t="inlineStr">
        <is>
          <t>RF-004</t>
        </is>
      </c>
      <c r="B5" s="4" t="inlineStr">
        <is>
          <t>Monoidal Preservation: R(G sqcup H) cong R(G) otimes R(H); pentagon + triangle coherence satisfied</t>
        </is>
      </c>
      <c r="C5" s="4" t="inlineStr">
        <is>
          <t>M-000 (tensor comparison construction) + Mac Lane Monoidal Coherence Theorem</t>
        </is>
      </c>
      <c r="D5" s="4" t="inlineStr">
        <is>
          <t>CERTIFIED</t>
        </is>
      </c>
    </row>
    <row r="6">
      <c r="A6" s="4" t="inlineStr">
        <is>
          <t>RF-005</t>
        </is>
      </c>
      <c r="B6" s="4" t="inlineStr">
        <is>
          <t>Faithfulness and Conservatism: R is faithful and conservative but neither full nor essentially surjective</t>
        </is>
      </c>
      <c r="C6" s="4" t="inlineStr">
        <is>
          <t>Faithfulness: distinct embeddings -&gt; distinct cochain push-forwards -&gt; distinct limits. Obstruction: ker(Phi_d) != empty</t>
        </is>
      </c>
      <c r="D6" s="4" t="inlineStr">
        <is>
          <t>CERTIFIED</t>
        </is>
      </c>
    </row>
    <row r="7">
      <c r="A7" s="4" t="inlineStr">
        <is>
          <t>RK-001</t>
        </is>
      </c>
      <c r="B7" s="4" t="inlineStr">
        <is>
          <t>Kernel Algebra</t>
        </is>
      </c>
      <c r="C7" s="4" t="inlineStr">
        <is>
          <t>ker(Phi_d) has algebraic structure generated by five minimal generators {K_1,K_2,K_3,K_5,K_6} forming a closed Lie Groupoid: &lt;K_1,K_2,K_3,K_5,K_6&gt; = A_ker subset ker(Phi_d)</t>
        </is>
      </c>
      <c r="D7" s="4" t="inlineStr">
        <is>
          <t>CERTIFIED</t>
        </is>
      </c>
    </row>
    <row r="8">
      <c r="A8" s="4" t="inlineStr">
        <is>
          <t>RK-002</t>
        </is>
      </c>
      <c r="B8" s="4" t="inlineStr">
        <is>
          <t>Normal Forms</t>
        </is>
      </c>
      <c r="C8" s="4" t="inlineStr">
        <is>
          <t>The kernel algebra is strictly terminating and confluent. Every element reduces to unique canonical form: Delta G_normal = K_1^alpha K_2^beta K_6^gamma K_3[g] K_5^delta (proved via Newman's Lemma)</t>
        </is>
      </c>
      <c r="D8" s="4" t="inlineStr">
        <is>
          <t>CERTIFIED</t>
        </is>
      </c>
    </row>
    <row r="9">
      <c r="A9" s="4" t="inlineStr">
        <is>
          <t>RK-003</t>
        </is>
      </c>
      <c r="B9" s="4" t="inlineStr">
        <is>
          <t>Kernel Decomposition</t>
        </is>
      </c>
      <c r="C9" s="4" t="inlineStr">
        <is>
          <t>ker(Phi_d) cong Aut_disc(G) semidirect Gauge(P-&gt;M). Gauge symmetries of the Standard Model emerge as the residual freedom of the discrete graph invisible to the continuum limit.</t>
        </is>
      </c>
      <c r="D9" s="4" t="inlineStr">
        <is>
          <t>CERTIFIED</t>
        </is>
      </c>
    </row>
  </sheetData>
  <autoFilter ref="A1:D9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10" customWidth="1" min="3" max="3"/>
    <col width="40" customWidth="1" min="4" max="4"/>
  </cols>
  <sheetData>
    <row r="1">
      <c r="A1" s="3" t="inlineStr">
        <is>
          <t>PRF ID</t>
        </is>
      </c>
      <c r="B1" s="3" t="inlineStr">
        <is>
          <t>For</t>
        </is>
      </c>
      <c r="C1" s="3" t="inlineStr">
        <is>
          <t>Missing</t>
        </is>
      </c>
      <c r="D1" s="3" t="inlineStr">
        <is>
          <t>Closes</t>
        </is>
      </c>
    </row>
    <row r="2">
      <c r="A2" s="4" t="inlineStr">
        <is>
          <t>PRF-ROG-3</t>
        </is>
      </c>
      <c r="B2" s="4" t="inlineStr">
        <is>
          <t>AX-ROG-3 (Completeness)</t>
        </is>
      </c>
      <c r="C2" s="4" t="inlineStr">
        <is>
          <t>Formal proof that every organizational phenomenon has a G* representation. No counterexample found; neither exhaustive enumeration nor abstract spanning argument constructed.</t>
        </is>
      </c>
      <c r="D2" s="4" t="inlineStr">
        <is>
          <t>DER-ORG-009</t>
        </is>
      </c>
    </row>
    <row r="3">
      <c r="A3" s="4" t="inlineStr">
        <is>
          <t>PRF-ROG-5</t>
        </is>
      </c>
      <c r="B3" s="4" t="inlineStr">
        <is>
          <t>AX-ROG-5 (Canonical Form)</t>
        </is>
      </c>
      <c r="C3" s="4" t="inlineStr">
        <is>
          <t>Uniqueness proof for the minimal DTC representation. Requires showing no two distinct canonical forms represent the same organizational system.</t>
        </is>
      </c>
      <c r="D3" s="4" t="inlineStr">
        <is>
          <t>DER-ORG-009</t>
        </is>
      </c>
    </row>
    <row r="4">
      <c r="A4" s="4" t="inlineStr">
        <is>
          <t>PRF-PiO</t>
        </is>
      </c>
      <c r="B4" s="4" t="inlineStr">
        <is>
          <t>DER-ORG-007 / DER-TRC-006</t>
        </is>
      </c>
      <c r="C4" s="4" t="inlineStr">
        <is>
          <t>Rigorous derivation of Pi_O = f(sigma, C, Spec(L)) from TNDS first principles. Coupling equation proposed; stationary distribution of Fokker-Planck equation approach outlined but not executed.</t>
        </is>
      </c>
      <c r="D4" s="4" t="inlineStr">
        <is>
          <t>Both ORG-007 and TRC-006</t>
        </is>
      </c>
    </row>
    <row r="5">
      <c r="A5" s="4" t="inlineStr">
        <is>
          <t>PRF-ATU</t>
        </is>
      </c>
      <c r="B5" s="4" t="inlineStr">
        <is>
          <t>DER-ORG-008</t>
        </is>
      </c>
      <c r="C5" s="4" t="inlineStr">
        <is>
          <t>Uniqueness of organizational attractor for each alpha. Banach theorem gives uniqueness given completeness and c&lt;1; proof that c&lt;1 holds uniformly across all initial conditions needed.</t>
        </is>
      </c>
      <c r="D5" s="4" t="inlineStr">
        <is>
          <t>DER-ORG-008</t>
        </is>
      </c>
    </row>
    <row r="6">
      <c r="A6" s="4" t="inlineStr">
        <is>
          <t>PRF-UGNT</t>
        </is>
      </c>
      <c r="B6" s="4" t="inlineStr">
        <is>
          <t>Part V UGNT</t>
        </is>
      </c>
      <c r="C6" s="4" t="inlineStr">
        <is>
          <t>Termination and confluence of the rewrite system for grammar normal forms. Both required for UGNT normal-form theorem; neither proven.</t>
        </is>
      </c>
      <c r="D6" s="4" t="inlineStr">
        <is>
          <t>Part V §4</t>
        </is>
      </c>
    </row>
  </sheetData>
  <autoFilter ref="A1:D6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75" customWidth="1" min="3" max="3"/>
    <col width="22" customWidth="1" min="4" max="4"/>
    <col width="25" customWidth="1" min="5" max="5"/>
    <col width="45" customWidth="1" min="6" max="6"/>
  </cols>
  <sheetData>
    <row r="1">
      <c r="A1" s="3" t="inlineStr">
        <is>
          <t>Variable_ID</t>
        </is>
      </c>
      <c r="B1" s="3" t="inlineStr">
        <is>
          <t>Symbol</t>
        </is>
      </c>
      <c r="C1" s="3" t="inlineStr">
        <is>
          <t>Definition</t>
        </is>
      </c>
      <c r="D1" s="3" t="inlineStr">
        <is>
          <t>Units</t>
        </is>
      </c>
      <c r="E1" s="3" t="inlineStr">
        <is>
          <t>Status</t>
        </is>
      </c>
      <c r="F1" s="3" t="inlineStr">
        <is>
          <t>Origins</t>
        </is>
      </c>
    </row>
    <row r="2">
      <c r="A2" s="4" t="inlineStr">
        <is>
          <t>VAR-0001</t>
        </is>
      </c>
      <c r="B2" s="4" t="inlineStr">
        <is>
          <t>Delta</t>
        </is>
      </c>
      <c r="C2" s="4" t="inlineStr">
        <is>
          <t>Distinction primitive</t>
        </is>
      </c>
      <c r="D2" s="4" t="n"/>
      <c r="E2" s="4" t="inlineStr">
        <is>
          <t>SOURCE-REGISTERED</t>
        </is>
      </c>
      <c r="F2" s="4" t="inlineStr">
        <is>
          <t>USR; EQ:SP.16; EQ:SP.22; EQ:SP.23; EQ:PE.13; EQ:QM.6; EQ:RG.2; EQ:RG.4; EQ:RG.6; EQ:RG.7; EQ:RG.8; EQ:MC.20</t>
        </is>
      </c>
    </row>
    <row r="3">
      <c r="A3" s="4" t="inlineStr">
        <is>
          <t>VAR-0002</t>
        </is>
      </c>
      <c r="B3" s="4" t="inlineStr">
        <is>
          <t>tau</t>
        </is>
      </c>
      <c r="C3" s="4" t="inlineStr">
        <is>
          <t>Transformation primitive</t>
        </is>
      </c>
      <c r="D3" s="4" t="n"/>
      <c r="E3" s="4" t="inlineStr">
        <is>
          <t>SOURCE-REGISTERED</t>
        </is>
      </c>
      <c r="F3" s="4" t="inlineStr">
        <is>
          <t>USR; EQ:RG.2; EQ:RG.4; EQ:RG.7; EQ:RG.8</t>
        </is>
      </c>
    </row>
    <row r="4">
      <c r="A4" s="4" t="inlineStr">
        <is>
          <t>VAR-0003</t>
        </is>
      </c>
      <c r="B4" s="4" t="inlineStr">
        <is>
          <t>kappa</t>
        </is>
      </c>
      <c r="C4" s="4" t="inlineStr">
        <is>
          <t>Constraint primitive</t>
        </is>
      </c>
      <c r="D4" s="4" t="n"/>
      <c r="E4" s="4" t="inlineStr">
        <is>
          <t>SOURCE-REGISTERED</t>
        </is>
      </c>
      <c r="F4" s="4" t="inlineStr">
        <is>
          <t>USR; EQ:RG.2; EQ:RG.4; EQ:RG.7; EQ:RG.8</t>
        </is>
      </c>
    </row>
    <row r="5">
      <c r="A5" s="4" t="inlineStr">
        <is>
          <t>VAR-0004</t>
        </is>
      </c>
      <c r="B5" s="4" t="inlineStr">
        <is>
          <t>Pi</t>
        </is>
      </c>
      <c r="C5" s="4" t="inlineStr">
        <is>
          <t>Persistence primitive</t>
        </is>
      </c>
      <c r="D5" s="4" t="n"/>
      <c r="E5" s="4" t="inlineStr">
        <is>
          <t>SOURCE-REGISTERED</t>
        </is>
      </c>
      <c r="F5" s="4" t="inlineStr">
        <is>
          <t>USR; EQ:OD.6; EQ:RG.4; EQ:RG.6; EQ:RG.7; EQ:RG.8; EQ:MC.20</t>
        </is>
      </c>
    </row>
    <row r="6">
      <c r="A6" s="4" t="inlineStr">
        <is>
          <t>VAR-0005</t>
        </is>
      </c>
      <c r="B6" s="4" t="inlineStr">
        <is>
          <t>Gamma</t>
        </is>
      </c>
      <c r="C6" s="4" t="inlineStr">
        <is>
          <t>Organizational action</t>
        </is>
      </c>
      <c r="D6" s="4" t="n"/>
      <c r="E6" s="4" t="inlineStr">
        <is>
          <t>SOURCE-REGISTERED</t>
        </is>
      </c>
      <c r="F6" s="4" t="inlineStr">
        <is>
          <t>USR; EQ:GE.11; EQ:PE.7; EQ:PE.8; EQ:PE.12; EQ:PE.13; EQ:CV.1; EQ:CV.2; EQ:OD.5; EQ:MC.9; EQ:MC.10; EQ:MC.15; EQ:MC.16; EQ:MC.20</t>
        </is>
      </c>
    </row>
    <row r="7">
      <c r="A7" s="4" t="inlineStr">
        <is>
          <t>VAR-0006</t>
        </is>
      </c>
      <c r="B7" s="4" t="inlineStr">
        <is>
          <t>G=(V,E)</t>
        </is>
      </c>
      <c r="C7" s="4" t="inlineStr">
        <is>
          <t>Distinction graph</t>
        </is>
      </c>
      <c r="D7" s="4" t="n"/>
      <c r="E7" s="4" t="inlineStr">
        <is>
          <t>SOURCE-REGISTERED</t>
        </is>
      </c>
      <c r="F7" s="4" t="inlineStr">
        <is>
          <t>USR</t>
        </is>
      </c>
    </row>
    <row r="8">
      <c r="A8" s="4" t="inlineStr">
        <is>
          <t>VAR-0007</t>
        </is>
      </c>
      <c r="B8" s="4" t="inlineStr">
        <is>
          <t>L=D-A</t>
        </is>
      </c>
      <c r="C8" s="4" t="inlineStr">
        <is>
          <t>Graph Laplacian</t>
        </is>
      </c>
      <c r="D8" s="4" t="n"/>
      <c r="E8" s="4" t="inlineStr">
        <is>
          <t>SOURCE-REGISTERED</t>
        </is>
      </c>
      <c r="F8" s="4" t="inlineStr">
        <is>
          <t>USR</t>
        </is>
      </c>
    </row>
    <row r="9">
      <c r="A9" s="4" t="inlineStr">
        <is>
          <t>VAR-0008</t>
        </is>
      </c>
      <c r="B9" s="4" t="inlineStr">
        <is>
          <t>Spec(L)={lam_n,phi_n}</t>
        </is>
      </c>
      <c r="C9" s="4" t="inlineStr">
        <is>
          <t>Laplacian spectrum</t>
        </is>
      </c>
      <c r="D9" s="4" t="n"/>
      <c r="E9" s="4" t="inlineStr">
        <is>
          <t>SOURCE-REGISTERED</t>
        </is>
      </c>
      <c r="F9" s="4" t="inlineStr">
        <is>
          <t>USR</t>
        </is>
      </c>
    </row>
    <row r="10">
      <c r="A10" s="4" t="inlineStr">
        <is>
          <t>VAR-0009</t>
        </is>
      </c>
      <c r="B10" s="4" t="inlineStr">
        <is>
          <t>K_t=exp(-tL)</t>
        </is>
      </c>
      <c r="C10" s="4" t="inlineStr">
        <is>
          <t>Heat kernel</t>
        </is>
      </c>
      <c r="D10" s="4" t="n"/>
      <c r="E10" s="4" t="inlineStr">
        <is>
          <t>SOURCE-REGISTERED</t>
        </is>
      </c>
      <c r="F10" s="4" t="inlineStr">
        <is>
          <t>USR</t>
        </is>
      </c>
    </row>
    <row r="11">
      <c r="A11" s="4" t="inlineStr">
        <is>
          <t>VAR-0010</t>
        </is>
      </c>
      <c r="B11" s="4" t="inlineStr">
        <is>
          <t>R=exp(-beta L)</t>
        </is>
      </c>
      <c r="C11" s="4" t="inlineStr">
        <is>
          <t>Persistence filter</t>
        </is>
      </c>
      <c r="D11" s="4" t="n"/>
      <c r="E11" s="4" t="inlineStr">
        <is>
          <t>SOURCE-REGISTERED</t>
        </is>
      </c>
      <c r="F11" s="4" t="inlineStr">
        <is>
          <t>USR</t>
        </is>
      </c>
    </row>
    <row r="12">
      <c r="A12" s="4" t="inlineStr">
        <is>
          <t>VAR-0011</t>
        </is>
      </c>
      <c r="B12" s="4" t="inlineStr">
        <is>
          <t>d(i,j)</t>
        </is>
      </c>
      <c r="C12" s="4" t="inlineStr">
        <is>
          <t>Diffusion distance</t>
        </is>
      </c>
      <c r="D12" s="4" t="n"/>
      <c r="E12" s="4" t="inlineStr">
        <is>
          <t>SOURCE-REGISTERED</t>
        </is>
      </c>
      <c r="F12" s="4" t="inlineStr">
        <is>
          <t>USR</t>
        </is>
      </c>
    </row>
    <row r="13">
      <c r="A13" s="4" t="inlineStr">
        <is>
          <t>VAR-0012</t>
        </is>
      </c>
      <c r="B13" s="4" t="inlineStr">
        <is>
          <t>g_{mu nu}</t>
        </is>
      </c>
      <c r="C13" s="4" t="inlineStr">
        <is>
          <t>Metric tensor</t>
        </is>
      </c>
      <c r="D13" s="4" t="n"/>
      <c r="E13" s="4" t="inlineStr">
        <is>
          <t>SOURCE-REGISTERED</t>
        </is>
      </c>
      <c r="F13" s="4" t="inlineStr">
        <is>
          <t>USR</t>
        </is>
      </c>
    </row>
    <row r="14">
      <c r="A14" s="4" t="inlineStr">
        <is>
          <t>VAR-0013</t>
        </is>
      </c>
      <c r="B14" s="4" t="inlineStr">
        <is>
          <t>Gamma^c_{ab}</t>
        </is>
      </c>
      <c r="C14" s="4" t="inlineStr">
        <is>
          <t>Christoffel symbols</t>
        </is>
      </c>
      <c r="D14" s="4" t="n"/>
      <c r="E14" s="4" t="inlineStr">
        <is>
          <t>SOURCE-REGISTERED</t>
        </is>
      </c>
      <c r="F14" s="4" t="inlineStr">
        <is>
          <t>USR</t>
        </is>
      </c>
    </row>
    <row r="15">
      <c r="A15" s="4" t="inlineStr">
        <is>
          <t>VAR-0014</t>
        </is>
      </c>
      <c r="B15" s="4" t="inlineStr">
        <is>
          <t>R^rho_{sig mu nu}</t>
        </is>
      </c>
      <c r="C15" s="4" t="inlineStr">
        <is>
          <t>Riemann tensor</t>
        </is>
      </c>
      <c r="D15" s="4" t="n"/>
      <c r="E15" s="4" t="inlineStr">
        <is>
          <t>SOURCE-REGISTERED</t>
        </is>
      </c>
      <c r="F15" s="4" t="inlineStr">
        <is>
          <t>USR</t>
        </is>
      </c>
    </row>
    <row r="16">
      <c r="A16" s="4" t="inlineStr">
        <is>
          <t>VAR-0015</t>
        </is>
      </c>
      <c r="B16" s="4" t="inlineStr">
        <is>
          <t>R_{mu nu}</t>
        </is>
      </c>
      <c r="C16" s="4" t="inlineStr">
        <is>
          <t>Ricci tensor</t>
        </is>
      </c>
      <c r="D16" s="4" t="n"/>
      <c r="E16" s="4" t="inlineStr">
        <is>
          <t>SOURCE-REGISTERED</t>
        </is>
      </c>
      <c r="F16" s="4" t="inlineStr">
        <is>
          <t>USR</t>
        </is>
      </c>
    </row>
    <row r="17">
      <c r="A17" s="4" t="inlineStr">
        <is>
          <t>VAR-0016</t>
        </is>
      </c>
      <c r="B17" s="4" t="inlineStr">
        <is>
          <t>R</t>
        </is>
      </c>
      <c r="C17" s="4" t="inlineStr">
        <is>
          <t>Ricci scalar</t>
        </is>
      </c>
      <c r="D17" s="4" t="n"/>
      <c r="E17" s="4" t="inlineStr">
        <is>
          <t>SOURCE-REGISTERED</t>
        </is>
      </c>
      <c r="F17" s="4" t="inlineStr">
        <is>
          <t>USR; EQ:NCG.3; EQ:CV.2; EQ:CV.3; EQ:CV.4; EQ:CV.5; EQ:CV.7; EQ:CV.8; EQ:CV.9; EQ:CV.11; EQ:PH.3; EQ:OD.15; EQ:MC.10; EQ:MC.17</t>
        </is>
      </c>
    </row>
    <row r="18">
      <c r="A18" s="4" t="inlineStr">
        <is>
          <t>VAR-0017</t>
        </is>
      </c>
      <c r="B18" s="4" t="inlineStr">
        <is>
          <t>G_{mu nu}</t>
        </is>
      </c>
      <c r="C18" s="4" t="inlineStr">
        <is>
          <t>Einstein tensor</t>
        </is>
      </c>
      <c r="D18" s="4" t="n"/>
      <c r="E18" s="4" t="inlineStr">
        <is>
          <t>SOURCE-REGISTERED</t>
        </is>
      </c>
      <c r="F18" s="4" t="inlineStr">
        <is>
          <t>USR</t>
        </is>
      </c>
    </row>
    <row r="19">
      <c r="A19" s="4" t="inlineStr">
        <is>
          <t>VAR-0018</t>
        </is>
      </c>
      <c r="B19" s="4" t="inlineStr">
        <is>
          <t>A_mu</t>
        </is>
      </c>
      <c r="C19" s="4" t="inlineStr">
        <is>
          <t>Gauge connection</t>
        </is>
      </c>
      <c r="D19" s="4" t="n"/>
      <c r="E19" s="4" t="inlineStr">
        <is>
          <t>SOURCE-REGISTERED</t>
        </is>
      </c>
      <c r="F19" s="4" t="inlineStr">
        <is>
          <t>USR</t>
        </is>
      </c>
    </row>
    <row r="20">
      <c r="A20" s="4" t="inlineStr">
        <is>
          <t>VAR-0019</t>
        </is>
      </c>
      <c r="B20" s="4" t="inlineStr">
        <is>
          <t>F_{mu nu}</t>
        </is>
      </c>
      <c r="C20" s="4" t="inlineStr">
        <is>
          <t>Field strength</t>
        </is>
      </c>
      <c r="D20" s="4" t="n"/>
      <c r="E20" s="4" t="inlineStr">
        <is>
          <t>SOURCE-REGISTERED</t>
        </is>
      </c>
      <c r="F20" s="4" t="inlineStr">
        <is>
          <t>USR</t>
        </is>
      </c>
    </row>
    <row r="21">
      <c r="A21" s="4" t="inlineStr">
        <is>
          <t>VAR-0020</t>
        </is>
      </c>
      <c r="B21" s="4" t="inlineStr">
        <is>
          <t>D_mu</t>
        </is>
      </c>
      <c r="C21" s="4" t="inlineStr">
        <is>
          <t>Covariant derivative</t>
        </is>
      </c>
      <c r="D21" s="4" t="n"/>
      <c r="E21" s="4" t="inlineStr">
        <is>
          <t>SOURCE-REGISTERED</t>
        </is>
      </c>
      <c r="F21" s="4" t="inlineStr">
        <is>
          <t>USR</t>
        </is>
      </c>
    </row>
    <row r="22">
      <c r="A22" s="4" t="inlineStr">
        <is>
          <t>VAR-0021</t>
        </is>
      </c>
      <c r="B22" s="4" t="inlineStr">
        <is>
          <t>psi</t>
        </is>
      </c>
      <c r="C22" s="4" t="inlineStr">
        <is>
          <t>Spinor field</t>
        </is>
      </c>
      <c r="D22" s="4" t="n"/>
      <c r="E22" s="4" t="inlineStr">
        <is>
          <t>SOURCE-REGISTERED</t>
        </is>
      </c>
      <c r="F22" s="4" t="inlineStr">
        <is>
          <t>USR; EQ:NCG.2; EQ:NCG.11; EQ:GE.5; EQ:GE.6; EQ:PE.2; EQ:QM.1; EQ:QM.2; EQ:MC.12</t>
        </is>
      </c>
    </row>
    <row r="23">
      <c r="A23" s="4" t="inlineStr">
        <is>
          <t>VAR-0022</t>
        </is>
      </c>
      <c r="B23" s="4" t="inlineStr">
        <is>
          <t>T_{mu nu}</t>
        </is>
      </c>
      <c r="C23" s="4" t="inlineStr">
        <is>
          <t>Stress-energy tensor</t>
        </is>
      </c>
      <c r="D23" s="4" t="n"/>
      <c r="E23" s="4" t="inlineStr">
        <is>
          <t>SOURCE-REGISTERED</t>
        </is>
      </c>
      <c r="F23" s="4" t="inlineStr">
        <is>
          <t>USR</t>
        </is>
      </c>
    </row>
    <row r="24">
      <c r="A24" s="4" t="inlineStr">
        <is>
          <t>VAR-0023</t>
        </is>
      </c>
      <c r="B24" s="4" t="inlineStr">
        <is>
          <t>sigma</t>
        </is>
      </c>
      <c r="C24" s="4" t="inlineStr">
        <is>
          <t>Entropy production rate</t>
        </is>
      </c>
      <c r="D24" s="4" t="n"/>
      <c r="E24" s="4" t="inlineStr">
        <is>
          <t>SOURCE-REGISTERED</t>
        </is>
      </c>
      <c r="F24" s="4" t="inlineStr">
        <is>
          <t>USR</t>
        </is>
      </c>
    </row>
    <row r="25">
      <c r="A25" s="4" t="inlineStr">
        <is>
          <t>VAR-0024</t>
        </is>
      </c>
      <c r="B25" s="4" t="inlineStr">
        <is>
          <t>Pi_O</t>
        </is>
      </c>
      <c r="C25" s="4" t="inlineStr">
        <is>
          <t>Org. Persistence Functional</t>
        </is>
      </c>
      <c r="D25" s="4" t="n"/>
      <c r="E25" s="4" t="inlineStr">
        <is>
          <t>SOURCE-REGISTERED</t>
        </is>
      </c>
      <c r="F25" s="4" t="inlineStr">
        <is>
          <t>USR</t>
        </is>
      </c>
    </row>
    <row r="26">
      <c r="A26" s="4" t="inlineStr">
        <is>
          <t>VAR-0025</t>
        </is>
      </c>
      <c r="B26" s="4" t="inlineStr">
        <is>
          <t>alpha</t>
        </is>
      </c>
      <c r="C26" s="4" t="inlineStr">
        <is>
          <t>Control parameter</t>
        </is>
      </c>
      <c r="D26" s="4" t="n"/>
      <c r="E26" s="4" t="inlineStr">
        <is>
          <t>SOURCE-REGISTERED</t>
        </is>
      </c>
      <c r="F26" s="4" t="inlineStr">
        <is>
          <t>USR; UCCP; EQ:OD.2; EQ:OD.3; EQ:OD.7; EQ:OD.8; EQ:OD.9; EQ:OD.10; EQ:MC.18</t>
        </is>
      </c>
    </row>
    <row r="27">
      <c r="A27" s="4" t="inlineStr">
        <is>
          <t>VAR-0026</t>
        </is>
      </c>
      <c r="B27" s="4" t="inlineStr">
        <is>
          <t>U_alpha</t>
        </is>
      </c>
      <c r="C27" s="4" t="inlineStr">
        <is>
          <t>Evolution operator</t>
        </is>
      </c>
      <c r="D27" s="4" t="n"/>
      <c r="E27" s="4" t="inlineStr">
        <is>
          <t>SOURCE-REGISTERED</t>
        </is>
      </c>
      <c r="F27" s="4" t="inlineStr">
        <is>
          <t>USR; EQ:OD.1; EQ:OD.2; EQ:OD.3; EQ:MC.18; EQ:MC.19</t>
        </is>
      </c>
    </row>
    <row r="28">
      <c r="A28" s="4" t="inlineStr">
        <is>
          <t>VAR-0027</t>
        </is>
      </c>
      <c r="B28" s="4" t="inlineStr">
        <is>
          <t>Omega</t>
        </is>
      </c>
      <c r="C28" s="4" t="inlineStr">
        <is>
          <t>Master attractor</t>
        </is>
      </c>
      <c r="D28" s="4" t="n"/>
      <c r="E28" s="4" t="inlineStr">
        <is>
          <t>SOURCE-REGISTERED</t>
        </is>
      </c>
      <c r="F28" s="4" t="inlineStr">
        <is>
          <t>USR; EQ:SP.19; EQ:SP.21; EQ:PH.13; EQ:OD.6; EQ:OD.14; EQ:OD.15</t>
        </is>
      </c>
    </row>
    <row r="29">
      <c r="A29" s="4" t="inlineStr">
        <is>
          <t>VAR-0028</t>
        </is>
      </c>
      <c r="B29" s="4" t="inlineStr">
        <is>
          <t>D=sqrt(L)</t>
        </is>
      </c>
      <c r="C29" s="4" t="inlineStr">
        <is>
          <t>Dirac operator</t>
        </is>
      </c>
      <c r="D29" s="4" t="n"/>
      <c r="E29" s="4" t="inlineStr">
        <is>
          <t>SOURCE-REGISTERED</t>
        </is>
      </c>
      <c r="F29" s="4" t="inlineStr">
        <is>
          <t>USR</t>
        </is>
      </c>
    </row>
    <row r="30">
      <c r="A30" s="4" t="inlineStr">
        <is>
          <t>VAR-0029</t>
        </is>
      </c>
      <c r="B30" s="4" t="inlineStr">
        <is>
          <t>S_EH</t>
        </is>
      </c>
      <c r="C30" s="4" t="inlineStr">
        <is>
          <t>Einstein-Hilbert action</t>
        </is>
      </c>
      <c r="D30" s="4" t="n"/>
      <c r="E30" s="4" t="inlineStr">
        <is>
          <t>SOURCE-REGISTERED</t>
        </is>
      </c>
      <c r="F30" s="4" t="inlineStr">
        <is>
          <t>USR</t>
        </is>
      </c>
    </row>
    <row r="31">
      <c r="A31" s="4" t="inlineStr">
        <is>
          <t>VAR-0030</t>
        </is>
      </c>
      <c r="B31" s="4" t="inlineStr">
        <is>
          <t>C_Pi[y]</t>
        </is>
      </c>
      <c r="C31" s="4" t="inlineStr">
        <is>
          <t>Persistence Cost Functional</t>
        </is>
      </c>
      <c r="D31" s="4" t="n"/>
      <c r="E31" s="4" t="inlineStr">
        <is>
          <t>SOURCE-REGISTERED</t>
        </is>
      </c>
      <c r="F31" s="4" t="inlineStr">
        <is>
          <t>USR</t>
        </is>
      </c>
    </row>
    <row r="32">
      <c r="A32" s="4" t="inlineStr">
        <is>
          <t>VAR-0046</t>
        </is>
      </c>
      <c r="B32" s="4" t="inlineStr">
        <is>
          <t>N_sub (spectral trace</t>
        </is>
      </c>
      <c r="C32" s="4" t="n"/>
      <c r="D32" s="4" t="n"/>
      <c r="E32" s="4" t="inlineStr">
        <is>
          <t>SOURCE-REGISTERED</t>
        </is>
      </c>
      <c r="F32" s="4" t="inlineStr">
        <is>
          <t>UCCP</t>
        </is>
      </c>
    </row>
    <row r="33">
      <c r="A33" s="4" t="inlineStr">
        <is>
          <t>VAR-0047</t>
        </is>
      </c>
      <c r="B33" s="4" t="inlineStr">
        <is>
          <t>m_{aP} (Persistence</t>
        </is>
      </c>
      <c r="C33" s="4" t="n"/>
      <c r="D33" s="4" t="n"/>
      <c r="E33" s="4" t="inlineStr">
        <is>
          <t>SOURCE-REGISTERED</t>
        </is>
      </c>
      <c r="F33" s="4" t="inlineStr">
        <is>
          <t>UCCP</t>
        </is>
      </c>
    </row>
    <row r="34">
      <c r="A34" s="4" t="inlineStr">
        <is>
          <t>VAR-0048</t>
        </is>
      </c>
      <c r="B34" s="4" t="inlineStr">
        <is>
          <t>m_p/m_e (mass</t>
        </is>
      </c>
      <c r="C34" s="4" t="n"/>
      <c r="D34" s="4" t="n"/>
      <c r="E34" s="4" t="inlineStr">
        <is>
          <t>SOURCE-REGISTERED</t>
        </is>
      </c>
      <c r="F34" s="4" t="inlineStr">
        <is>
          <t>UCCP</t>
        </is>
      </c>
    </row>
    <row r="35">
      <c r="A35" s="4" t="inlineStr">
        <is>
          <t>VAR-0049</t>
        </is>
      </c>
      <c r="B35" s="4" t="inlineStr">
        <is>
          <t>A</t>
        </is>
      </c>
      <c r="C35" s="4" t="n"/>
      <c r="D35" s="4" t="n"/>
      <c r="E35" s="4" t="inlineStr">
        <is>
          <t>EQUATION-REFERENCED</t>
        </is>
      </c>
      <c r="F35" s="4" t="inlineStr">
        <is>
          <t>EQ:NCG.1; EQ:NCG.5; EQ:NCG.8; EQ:NCG.9; EQ:NCG.26; EQ:NCG.34; EQ:SP.2; EQ:GE.7; EQ:QM.10; EQ:MC.1; EQ:MC.2; EQ:MC.3</t>
        </is>
      </c>
    </row>
    <row r="36">
      <c r="A36" s="4" t="inlineStr">
        <is>
          <t>VAR-0050</t>
        </is>
      </c>
      <c r="B36" s="4" t="inlineStr">
        <is>
          <t>H</t>
        </is>
      </c>
      <c r="C36" s="4" t="n"/>
      <c r="D36" s="4" t="n"/>
      <c r="E36" s="4" t="inlineStr">
        <is>
          <t>EQUATION-REFERENCED</t>
        </is>
      </c>
      <c r="F36" s="4" t="inlineStr">
        <is>
          <t>EQ:NCG.1; EQ:NCG.6; EQ:NCG.26; EQ:NCG.34; EQ:SP.20; EQ:SP.21; EQ:QM.6; EQ:LH.6; EQ:LH.8; EQ:MC.1; EQ:MC.2</t>
        </is>
      </c>
    </row>
    <row r="37">
      <c r="A37" s="4" t="inlineStr">
        <is>
          <t>VAR-0051</t>
        </is>
      </c>
      <c r="B37" s="4" t="inlineStr">
        <is>
          <t>D</t>
        </is>
      </c>
      <c r="C37" s="4" t="n"/>
      <c r="D37" s="4" t="n"/>
      <c r="E37" s="4" t="inlineStr">
        <is>
          <t>EQUATION-REFERENCED</t>
        </is>
      </c>
      <c r="F37" s="4" t="inlineStr">
        <is>
          <t>EQ:NCG.1; EQ:NCG.2; EQ:NCG.3; EQ:NCG.4; EQ:NCG.7; EQ:NCG.8; EQ:NCG.9; EQ:NCG.13; EQ:NCG.17; EQ:NCG.18; EQ:NCG.20; EQ:NCG.22; EQ:NCG.25; EQ:NCG.31; EQ:NCG.32; EQ:NCG.33; EQ:NCG.34; EQ:NCG.35; EQ:NCG.36; EQ:SP.17; EQ:GE.8; EQ:PE.9; EQ:PE.10; EQ:PH.2; EQ:PH.3; EQ:PH.13; EQ:OD.4; EQ:OD.5; EQ:OD.15; EQ:MC.1; EQ:MC.2; EQ:MC.3; EQ:MC.12; EQ:MC.20</t>
        </is>
      </c>
    </row>
    <row r="38">
      <c r="A38" s="4" t="inlineStr">
        <is>
          <t>VAR-0052</t>
        </is>
      </c>
      <c r="B38" s="4" t="inlineStr">
        <is>
          <t>S</t>
        </is>
      </c>
      <c r="C38" s="4" t="n"/>
      <c r="D38" s="4" t="n"/>
      <c r="E38" s="4" t="inlineStr">
        <is>
          <t>EQUATION-REFERENCED</t>
        </is>
      </c>
      <c r="F38" s="4" t="inlineStr">
        <is>
          <t>EQ:NCG.2; EQ:NCG.6; EQ:NCG.12; EQ:GE.4; EQ:PE.5; EQ:PE.6; EQ:QM.3; EQ:QM.5; EQ:QM.6; EQ:QM.9; EQ:LH.1; EQ:LH.2; EQ:MC.12; EQ:MC.13</t>
        </is>
      </c>
    </row>
    <row r="39">
      <c r="A39" s="4" t="inlineStr">
        <is>
          <t>VAR-0053</t>
        </is>
      </c>
      <c r="B39" s="4" t="inlineStr">
        <is>
          <t>Tr</t>
        </is>
      </c>
      <c r="C39" s="4" t="n"/>
      <c r="D39" s="4" t="n"/>
      <c r="E39" s="4" t="inlineStr">
        <is>
          <t>EQUATION-REFERENCED</t>
        </is>
      </c>
      <c r="F39" s="4" t="inlineStr">
        <is>
          <t>EQ:NCG.2; EQ:NCG.10; EQ:NCG.13; EQ:NCG.17; EQ:NCG.18; EQ:NCG.36; EQ:SP.7; EQ:SP.12; EQ:SP.13; EQ:SP.23; EQ:GE.7; EQ:GE.8; EQ:QM.7; EQ:OD.12; EQ:MC.12; EQ:MC.17</t>
        </is>
      </c>
    </row>
    <row r="40">
      <c r="A40" s="4" t="inlineStr">
        <is>
          <t>VAR-0054</t>
        </is>
      </c>
      <c r="B40" s="4" t="inlineStr">
        <is>
          <t>f</t>
        </is>
      </c>
      <c r="C40" s="4" t="n"/>
      <c r="D40" s="4" t="n"/>
      <c r="E40" s="4" t="inlineStr">
        <is>
          <t>EQUATION-REFERENCED</t>
        </is>
      </c>
      <c r="F40" s="4" t="inlineStr">
        <is>
          <t>EQ:NCG.2; EQ:NCG.10; EQ:NCG.13; EQ:NCG.14; EQ:NCG.31; EQ:SP.11; EQ:SP.12; EQ:PH.4; EQ:LH.7; EQ:MC.12</t>
        </is>
      </c>
    </row>
    <row r="41">
      <c r="A41" s="4" t="inlineStr">
        <is>
          <t>VAR-0055</t>
        </is>
      </c>
      <c r="B41" s="4" t="inlineStr">
        <is>
          <t>nabla</t>
        </is>
      </c>
      <c r="C41" s="4" t="n"/>
      <c r="D41" s="4" t="n"/>
      <c r="E41" s="4" t="inlineStr">
        <is>
          <t>EQUATION-REFERENCED</t>
        </is>
      </c>
      <c r="F41" s="4" t="inlineStr">
        <is>
          <t>EQ:NCG.3; EQ:SP.24; EQ:PH.1; EQ:PH.2; EQ:PH.3; EQ:PH.4; EQ:PH.5; EQ:PH.6; EQ:PH.7; EQ:PH.8; EQ:PH.9; EQ:PH.10; EQ:PH.11; EQ:PH.12; EQ:PH.13; EQ:OD.14; EQ:OD.15</t>
        </is>
      </c>
    </row>
    <row r="42">
      <c r="A42" s="4" t="inlineStr">
        <is>
          <t>VAR-0056</t>
        </is>
      </c>
      <c r="B42" s="4" t="inlineStr">
        <is>
          <t>Spec</t>
        </is>
      </c>
      <c r="C42" s="4" t="n"/>
      <c r="D42" s="4" t="n"/>
      <c r="E42" s="4" t="inlineStr">
        <is>
          <t>EQUATION-REFERENCED</t>
        </is>
      </c>
      <c r="F42" s="4" t="inlineStr">
        <is>
          <t>EQ:NCG.4; EQ:SP.4; EQ:SP.22; EQ:MC.2; EQ:MC.3; EQ:MC.4; EQ:MC.5; EQ:MC.7</t>
        </is>
      </c>
    </row>
    <row r="43">
      <c r="A43" s="4" t="inlineStr">
        <is>
          <t>VAR-0057</t>
        </is>
      </c>
      <c r="B43" s="4" t="inlineStr">
        <is>
          <t>lambda_i</t>
        </is>
      </c>
      <c r="C43" s="4" t="n"/>
      <c r="D43" s="4" t="n"/>
      <c r="E43" s="4" t="inlineStr">
        <is>
          <t>EQUATION-REFERENCED</t>
        </is>
      </c>
      <c r="F43" s="4" t="inlineStr">
        <is>
          <t>EQ:NCG.4; EQ:SP.7; EQ:SP.8; EQ:SP.12; EQ:SP.14; EQ:MC.4</t>
        </is>
      </c>
    </row>
    <row r="44">
      <c r="A44" s="4" t="inlineStr">
        <is>
          <t>VAR-0058</t>
        </is>
      </c>
      <c r="B44" s="4" t="inlineStr">
        <is>
          <t>C</t>
        </is>
      </c>
      <c r="C44" s="4" t="n"/>
      <c r="D44" s="4" t="n"/>
      <c r="E44" s="4" t="inlineStr">
        <is>
          <t>EQUATION-REFERENCED</t>
        </is>
      </c>
      <c r="F44" s="4" t="inlineStr">
        <is>
          <t>EQ:NCG.5; EQ:NCG.26; EQ:CV.10; EQ:OD.2; EQ:OD.4; EQ:OD.5; EQ:OD.15; EQ:RG.3; EQ:RG.5; EQ:MC.20</t>
        </is>
      </c>
    </row>
    <row r="45">
      <c r="A45" s="4" t="inlineStr">
        <is>
          <t>VAR-0059</t>
        </is>
      </c>
      <c r="B45" s="4" t="inlineStr">
        <is>
          <t>inf</t>
        </is>
      </c>
      <c r="C45" s="4" t="n"/>
      <c r="D45" s="4" t="n"/>
      <c r="E45" s="4" t="inlineStr">
        <is>
          <t>EQUATION-REFERENCED</t>
        </is>
      </c>
      <c r="F45" s="4" t="inlineStr">
        <is>
          <t>EQ:NCG.5; EQ:NCG.14; EQ:NCG.26; EQ:OD.3</t>
        </is>
      </c>
    </row>
    <row r="46">
      <c r="A46" s="4" t="inlineStr">
        <is>
          <t>VAR-0060</t>
        </is>
      </c>
      <c r="B46" s="4" t="inlineStr">
        <is>
          <t>M</t>
        </is>
      </c>
      <c r="C46" s="4" t="n"/>
      <c r="D46" s="4" t="n"/>
      <c r="E46" s="4" t="inlineStr">
        <is>
          <t>EQUATION-REFERENCED</t>
        </is>
      </c>
      <c r="F46" s="4" t="inlineStr">
        <is>
          <t>EQ:NCG.5; EQ:NCG.6; EQ:NCG.26; EQ:SP.19; EQ:SP.20</t>
        </is>
      </c>
    </row>
    <row r="47">
      <c r="A47" s="4" t="inlineStr">
        <is>
          <t>VAR-0061</t>
        </is>
      </c>
      <c r="B47" s="4" t="inlineStr">
        <is>
          <t>x</t>
        </is>
      </c>
      <c r="C47" s="4" t="n"/>
      <c r="D47" s="4" t="n"/>
      <c r="E47" s="4" t="inlineStr">
        <is>
          <t>EQUATION-REFERENCED</t>
        </is>
      </c>
      <c r="F47" s="4" t="inlineStr">
        <is>
          <t>EQ:NCG.5; EQ:NCG.6; EQ:NCG.7; EQ:NCG.26; EQ:NCG.27; EQ:NCG.31; EQ:CV.11; EQ:PH.7; EQ:PH.8</t>
        </is>
      </c>
    </row>
    <row r="48">
      <c r="A48" s="4" t="inlineStr">
        <is>
          <t>VAR-0062</t>
        </is>
      </c>
      <c r="B48" s="4" t="inlineStr">
        <is>
          <t>A_F</t>
        </is>
      </c>
      <c r="C48" s="4" t="n"/>
      <c r="D48" s="4" t="n"/>
      <c r="E48" s="4" t="inlineStr">
        <is>
          <t>EQUATION-REFERENCED</t>
        </is>
      </c>
      <c r="F48" s="4" t="inlineStr">
        <is>
          <t>EQ:NCG.5</t>
        </is>
      </c>
    </row>
    <row r="49">
      <c r="A49" s="4" t="inlineStr">
        <is>
          <t>VAR-0063</t>
        </is>
      </c>
      <c r="B49" s="4" t="inlineStr">
        <is>
          <t>L</t>
        </is>
      </c>
      <c r="C49" s="4" t="n"/>
      <c r="D49" s="4" t="n"/>
      <c r="E49" s="4" t="inlineStr">
        <is>
          <t>EQUATION-REFERENCED</t>
        </is>
      </c>
      <c r="F49" s="4" t="inlineStr">
        <is>
          <t>EQ:NCG.6; EQ:SP.2; EQ:SP.3; EQ:SP.4; EQ:SP.6; EQ:SP.7; EQ:SP.8; EQ:SP.9; EQ:SP.10; EQ:SP.11; EQ:SP.12; EQ:SP.13; EQ:SP.14; EQ:SP.15; EQ:PE.6; EQ:QM.7; EQ:LH.2; EQ:LH.3; EQ:OD.12; EQ:MC.3; EQ:MC.4; EQ:MC.5; EQ:MC.7; EQ:MC.17</t>
        </is>
      </c>
    </row>
    <row r="50">
      <c r="A50" s="4" t="inlineStr">
        <is>
          <t>VAR-0064</t>
        </is>
      </c>
      <c r="B50" s="4" t="inlineStr">
        <is>
          <t>H_F</t>
        </is>
      </c>
      <c r="C50" s="4" t="n"/>
      <c r="D50" s="4" t="n"/>
      <c r="E50" s="4" t="inlineStr">
        <is>
          <t>EQUATION-REFERENCED</t>
        </is>
      </c>
      <c r="F50" s="4" t="inlineStr">
        <is>
          <t>EQ:NCG.6</t>
        </is>
      </c>
    </row>
    <row r="51">
      <c r="A51" s="4" t="inlineStr">
        <is>
          <t>VAR-0065</t>
        </is>
      </c>
      <c r="B51" s="4" t="inlineStr">
        <is>
          <t>D_M</t>
        </is>
      </c>
      <c r="C51" s="4" t="n"/>
      <c r="D51" s="4" t="n"/>
      <c r="E51" s="4" t="inlineStr">
        <is>
          <t>EQUATION-REFERENCED</t>
        </is>
      </c>
      <c r="F51" s="4" t="inlineStr">
        <is>
          <t>EQ:NCG.7</t>
        </is>
      </c>
    </row>
    <row r="52">
      <c r="A52" s="4" t="inlineStr">
        <is>
          <t>VAR-0066</t>
        </is>
      </c>
      <c r="B52" s="4" t="inlineStr">
        <is>
          <t>gamma</t>
        </is>
      </c>
      <c r="C52" s="4" t="n"/>
      <c r="D52" s="4" t="n"/>
      <c r="E52" s="4" t="inlineStr">
        <is>
          <t>EQUATION-REFERENCED</t>
        </is>
      </c>
      <c r="F52" s="4" t="inlineStr">
        <is>
          <t>EQ:NCG.7; EQ:NCG.23; EQ:NCG.24; EQ:NCG.25; EQ:NCG.36</t>
        </is>
      </c>
    </row>
    <row r="53">
      <c r="A53" s="4" t="inlineStr">
        <is>
          <t>VAR-0067</t>
        </is>
      </c>
      <c r="B53" s="4" t="inlineStr">
        <is>
          <t>D_F</t>
        </is>
      </c>
      <c r="C53" s="4" t="n"/>
      <c r="D53" s="4" t="n"/>
      <c r="E53" s="4" t="inlineStr">
        <is>
          <t>EQUATION-REFERENCED</t>
        </is>
      </c>
      <c r="F53" s="4" t="inlineStr">
        <is>
          <t>EQ:NCG.7</t>
        </is>
      </c>
    </row>
    <row r="54">
      <c r="A54" s="4" t="inlineStr">
        <is>
          <t>VAR-0068</t>
        </is>
      </c>
      <c r="B54" s="4" t="inlineStr">
        <is>
          <t>D_A</t>
        </is>
      </c>
      <c r="C54" s="4" t="n"/>
      <c r="D54" s="4" t="n"/>
      <c r="E54" s="4" t="inlineStr">
        <is>
          <t>EQUATION-REFERENCED</t>
        </is>
      </c>
      <c r="F54" s="4" t="inlineStr">
        <is>
          <t>EQ:NCG.8; EQ:NCG.10; EQ:NCG.11</t>
        </is>
      </c>
    </row>
    <row r="55">
      <c r="A55" s="4" t="inlineStr">
        <is>
          <t>VAR-0069</t>
        </is>
      </c>
      <c r="B55" s="4" t="inlineStr">
        <is>
          <t>J</t>
        </is>
      </c>
      <c r="C55" s="4" t="n"/>
      <c r="D55" s="4" t="n"/>
      <c r="E55" s="4" t="inlineStr">
        <is>
          <t>EQUATION-REFERENCED</t>
        </is>
      </c>
      <c r="F55" s="4" t="inlineStr">
        <is>
          <t>EQ:NCG.8; EQ:NCG.11; EQ:NCG.21; EQ:NCG.22; EQ:NCG.23; EQ:PH.8; EQ:OD.15</t>
        </is>
      </c>
    </row>
    <row r="56">
      <c r="A56" s="4" t="inlineStr">
        <is>
          <t>VAR-0070</t>
        </is>
      </c>
      <c r="B56" s="4" t="inlineStr">
        <is>
          <t>sum_i</t>
        </is>
      </c>
      <c r="C56" s="4" t="n"/>
      <c r="D56" s="4" t="n"/>
      <c r="E56" s="4" t="inlineStr">
        <is>
          <t>EQUATION-REFERENCED</t>
        </is>
      </c>
      <c r="F56" s="4" t="inlineStr">
        <is>
          <t>EQ:NCG.9; EQ:SP.7; EQ:SP.12; EQ:LH.7</t>
        </is>
      </c>
    </row>
    <row r="57">
      <c r="A57" s="4" t="inlineStr">
        <is>
          <t>VAR-0071</t>
        </is>
      </c>
      <c r="B57" s="4" t="inlineStr">
        <is>
          <t>a_i</t>
        </is>
      </c>
      <c r="C57" s="4" t="n"/>
      <c r="D57" s="4" t="n"/>
      <c r="E57" s="4" t="inlineStr">
        <is>
          <t>EQUATION-REFERENCED</t>
        </is>
      </c>
      <c r="F57" s="4" t="inlineStr">
        <is>
          <t>EQ:NCG.9</t>
        </is>
      </c>
    </row>
    <row r="58">
      <c r="A58" s="4" t="inlineStr">
        <is>
          <t>VAR-0072</t>
        </is>
      </c>
      <c r="B58" s="4" t="inlineStr">
        <is>
          <t>b_i</t>
        </is>
      </c>
      <c r="C58" s="4" t="n"/>
      <c r="D58" s="4" t="n"/>
      <c r="E58" s="4" t="inlineStr">
        <is>
          <t>EQUATION-REFERENCED</t>
        </is>
      </c>
      <c r="F58" s="4" t="inlineStr">
        <is>
          <t>EQ:NCG.9</t>
        </is>
      </c>
    </row>
    <row r="59">
      <c r="A59" s="4" t="inlineStr">
        <is>
          <t>VAR-0073</t>
        </is>
      </c>
      <c r="B59" s="4" t="inlineStr">
        <is>
          <t>S_B</t>
        </is>
      </c>
      <c r="C59" s="4" t="n"/>
      <c r="D59" s="4" t="n"/>
      <c r="E59" s="4" t="inlineStr">
        <is>
          <t>EQUATION-REFERENCED</t>
        </is>
      </c>
      <c r="F59" s="4" t="inlineStr">
        <is>
          <t>EQ:NCG.10; EQ:NCG.12</t>
        </is>
      </c>
    </row>
    <row r="60">
      <c r="A60" s="4" t="inlineStr">
        <is>
          <t>VAR-0074</t>
        </is>
      </c>
      <c r="B60" s="4" t="inlineStr">
        <is>
          <t>S_F</t>
        </is>
      </c>
      <c r="C60" s="4" t="n"/>
      <c r="D60" s="4" t="n"/>
      <c r="E60" s="4" t="inlineStr">
        <is>
          <t>EQUATION-REFERENCED</t>
        </is>
      </c>
      <c r="F60" s="4" t="inlineStr">
        <is>
          <t>EQ:NCG.11; EQ:NCG.12</t>
        </is>
      </c>
    </row>
    <row r="61">
      <c r="A61" s="4" t="inlineStr">
        <is>
          <t>VAR-0075</t>
        </is>
      </c>
      <c r="B61" s="4" t="inlineStr">
        <is>
          <t>sum_</t>
        </is>
      </c>
      <c r="C61" s="4" t="n"/>
      <c r="D61" s="4" t="n"/>
      <c r="E61" s="4" t="inlineStr">
        <is>
          <t>EQUATION-REFERENCED</t>
        </is>
      </c>
      <c r="F61" s="4" t="inlineStr">
        <is>
          <t>EQ:NCG.13</t>
        </is>
      </c>
    </row>
    <row r="62">
      <c r="A62" s="4" t="inlineStr">
        <is>
          <t>VAR-0076</t>
        </is>
      </c>
      <c r="B62" s="4" t="inlineStr">
        <is>
          <t>n</t>
        </is>
      </c>
      <c r="C62" s="4" t="n"/>
      <c r="D62" s="4" t="n"/>
      <c r="E62" s="4" t="inlineStr">
        <is>
          <t>EQUATION-REFERENCED</t>
        </is>
      </c>
      <c r="F62" s="4" t="inlineStr">
        <is>
          <t>EQ:NCG.13; EQ:NCG.14; EQ:OD.1; EQ:OD.3; EQ:OD.13; EQ:MC.6; EQ:MC.19</t>
        </is>
      </c>
    </row>
    <row r="63">
      <c r="A63" s="4" t="inlineStr">
        <is>
          <t>VAR-0077</t>
        </is>
      </c>
      <c r="B63" s="4" t="inlineStr">
        <is>
          <t>f_n</t>
        </is>
      </c>
      <c r="C63" s="4" t="n"/>
      <c r="D63" s="4" t="n"/>
      <c r="E63" s="4" t="inlineStr">
        <is>
          <t>EQUATION-REFERENCED</t>
        </is>
      </c>
      <c r="F63" s="4" t="inlineStr">
        <is>
          <t>EQ:NCG.13; EQ:NCG.14</t>
        </is>
      </c>
    </row>
    <row r="64">
      <c r="A64" s="4" t="inlineStr">
        <is>
          <t>VAR-0078</t>
        </is>
      </c>
      <c r="B64" s="4" t="inlineStr">
        <is>
          <t>a_n</t>
        </is>
      </c>
      <c r="C64" s="4" t="n"/>
      <c r="D64" s="4" t="n"/>
      <c r="E64" s="4" t="inlineStr">
        <is>
          <t>EQUATION-REFERENCED</t>
        </is>
      </c>
      <c r="F64" s="4" t="inlineStr">
        <is>
          <t>EQ:NCG.13; EQ:MC.6</t>
        </is>
      </c>
    </row>
    <row r="65">
      <c r="A65" s="4" t="inlineStr">
        <is>
          <t>VAR-0079</t>
        </is>
      </c>
      <c r="B65" s="4" t="inlineStr">
        <is>
          <t>INT_0</t>
        </is>
      </c>
      <c r="C65" s="4" t="n"/>
      <c r="D65" s="4" t="n"/>
      <c r="E65" s="4" t="inlineStr">
        <is>
          <t>EQUATION-REFERENCED</t>
        </is>
      </c>
      <c r="F65" s="4" t="inlineStr">
        <is>
          <t>EQ:NCG.14</t>
        </is>
      </c>
    </row>
    <row r="66">
      <c r="A66" s="4" t="inlineStr">
        <is>
          <t>VAR-0080</t>
        </is>
      </c>
      <c r="B66" s="4" t="inlineStr">
        <is>
          <t>v</t>
        </is>
      </c>
      <c r="C66" s="4" t="n"/>
      <c r="D66" s="4" t="n"/>
      <c r="E66" s="4" t="inlineStr">
        <is>
          <t>EQUATION-REFERENCED</t>
        </is>
      </c>
      <c r="F66" s="4" t="inlineStr">
        <is>
          <t>EQ:NCG.14; EQ:PH.1</t>
        </is>
      </c>
    </row>
    <row r="67">
      <c r="A67" s="4" t="inlineStr">
        <is>
          <t>VAR-0081</t>
        </is>
      </c>
      <c r="B67" s="4" t="inlineStr">
        <is>
          <t>dv</t>
        </is>
      </c>
      <c r="C67" s="4" t="n"/>
      <c r="D67" s="4" t="n"/>
      <c r="E67" s="4" t="inlineStr">
        <is>
          <t>EQUATION-REFERENCED</t>
        </is>
      </c>
      <c r="F67" s="4" t="inlineStr">
        <is>
          <t>EQ:NCG.14</t>
        </is>
      </c>
    </row>
    <row r="68">
      <c r="A68" s="4" t="inlineStr">
        <is>
          <t>VAR-0082</t>
        </is>
      </c>
      <c r="B68" s="4" t="inlineStr">
        <is>
          <t>a_0</t>
        </is>
      </c>
      <c r="C68" s="4" t="n"/>
      <c r="D68" s="4" t="n"/>
      <c r="E68" s="4" t="inlineStr">
        <is>
          <t>EQUATION-REFERENCED</t>
        </is>
      </c>
      <c r="F68" s="4" t="inlineStr">
        <is>
          <t>EQ:NCG.15; EQ:NCG.16</t>
        </is>
      </c>
    </row>
    <row r="69">
      <c r="A69" s="4" t="inlineStr">
        <is>
          <t>VAR-0083</t>
        </is>
      </c>
      <c r="B69" s="4" t="inlineStr">
        <is>
          <t>a_2</t>
        </is>
      </c>
      <c r="C69" s="4" t="n"/>
      <c r="D69" s="4" t="n"/>
      <c r="E69" s="4" t="inlineStr">
        <is>
          <t>EQUATION-REFERENCED</t>
        </is>
      </c>
      <c r="F69" s="4" t="inlineStr">
        <is>
          <t>EQ:NCG.15; EQ:NCG.16</t>
        </is>
      </c>
    </row>
    <row r="70">
      <c r="A70" s="4" t="inlineStr">
        <is>
          <t>VAR-0084</t>
        </is>
      </c>
      <c r="B70" s="4" t="inlineStr">
        <is>
          <t>a_4</t>
        </is>
      </c>
      <c r="C70" s="4" t="n"/>
      <c r="D70" s="4" t="n"/>
      <c r="E70" s="4" t="inlineStr">
        <is>
          <t>EQUATION-REFERENCED</t>
        </is>
      </c>
      <c r="F70" s="4" t="inlineStr">
        <is>
          <t>EQ:NCG.15; EQ:NCG.16</t>
        </is>
      </c>
    </row>
    <row r="71">
      <c r="A71" s="4" t="inlineStr">
        <is>
          <t>VAR-0085</t>
        </is>
      </c>
      <c r="B71" s="4" t="inlineStr">
        <is>
          <t>a_6</t>
        </is>
      </c>
      <c r="C71" s="4" t="n"/>
      <c r="D71" s="4" t="n"/>
      <c r="E71" s="4" t="inlineStr">
        <is>
          <t>EQUATION-REFERENCED</t>
        </is>
      </c>
      <c r="F71" s="4" t="inlineStr">
        <is>
          <t>EQ:NCG.15</t>
        </is>
      </c>
    </row>
    <row r="72">
      <c r="A72" s="4" t="inlineStr">
        <is>
          <t>VAR-0086</t>
        </is>
      </c>
      <c r="B72" s="4" t="inlineStr">
        <is>
          <t>O</t>
        </is>
      </c>
      <c r="C72" s="4" t="n"/>
      <c r="D72" s="4" t="n"/>
      <c r="E72" s="4" t="inlineStr">
        <is>
          <t>EQUATION-REFERENCED</t>
        </is>
      </c>
      <c r="F72" s="4" t="inlineStr">
        <is>
          <t>EQ:NCG.16; EQ:RG.3; EQ:RG.5</t>
        </is>
      </c>
    </row>
    <row r="73">
      <c r="A73" s="4" t="inlineStr">
        <is>
          <t>VAR-0087</t>
        </is>
      </c>
      <c r="B73" s="4" t="inlineStr">
        <is>
          <t>K</t>
        </is>
      </c>
      <c r="C73" s="4" t="n"/>
      <c r="D73" s="4" t="n"/>
      <c r="E73" s="4" t="inlineStr">
        <is>
          <t>EQUATION-REFERENCED</t>
        </is>
      </c>
      <c r="F73" s="4" t="inlineStr">
        <is>
          <t>EQ:NCG.17; EQ:GE.8; EQ:MC.6</t>
        </is>
      </c>
    </row>
    <row r="74">
      <c r="A74" s="4" t="inlineStr">
        <is>
          <t>VAR-0088</t>
        </is>
      </c>
      <c r="B74" s="4" t="inlineStr">
        <is>
          <t>t</t>
        </is>
      </c>
      <c r="C74" s="4" t="n"/>
      <c r="D74" s="4" t="n"/>
      <c r="E74" s="4" t="inlineStr">
        <is>
          <t>EQUATION-REFERENCED</t>
        </is>
      </c>
      <c r="F74" s="4" t="inlineStr">
        <is>
          <t>EQ:NCG.17; EQ:NCG.36; EQ:SP.13; EQ:SP.14; EQ:SP.23; EQ:GE.8; EQ:GE.10; EQ:OD.4; EQ:MC.6</t>
        </is>
      </c>
    </row>
    <row r="75">
      <c r="A75" s="4" t="inlineStr">
        <is>
          <t>VAR-0089</t>
        </is>
      </c>
      <c r="B75" s="4" t="inlineStr">
        <is>
          <t>exp</t>
        </is>
      </c>
      <c r="C75" s="4" t="n"/>
      <c r="D75" s="4" t="n"/>
      <c r="E75" s="4" t="inlineStr">
        <is>
          <t>EQUATION-REFERENCED</t>
        </is>
      </c>
      <c r="F75" s="4" t="inlineStr">
        <is>
          <t>EQ:NCG.17; EQ:NCG.36; EQ:SP.13; EQ:SP.14; EQ:SP.23; EQ:GE.8; EQ:QM.7; EQ:MC.5; EQ:MC.17</t>
        </is>
      </c>
    </row>
    <row r="76">
      <c r="A76" s="4" t="inlineStr">
        <is>
          <t>VAR-0090</t>
        </is>
      </c>
      <c r="B76" s="4" t="inlineStr">
        <is>
          <t>zeta_D</t>
        </is>
      </c>
      <c r="C76" s="4" t="n"/>
      <c r="D76" s="4" t="n"/>
      <c r="E76" s="4" t="inlineStr">
        <is>
          <t>EQUATION-REFERENCED</t>
        </is>
      </c>
      <c r="F76" s="4" t="inlineStr">
        <is>
          <t>EQ:NCG.18; EQ:NCG.19</t>
        </is>
      </c>
    </row>
    <row r="77">
      <c r="A77" s="4" t="inlineStr">
        <is>
          <t>VAR-0091</t>
        </is>
      </c>
      <c r="B77" s="4" t="inlineStr">
        <is>
          <t>s</t>
        </is>
      </c>
      <c r="C77" s="4" t="n"/>
      <c r="D77" s="4" t="n"/>
      <c r="E77" s="4" t="inlineStr">
        <is>
          <t>EQUATION-REFERENCED</t>
        </is>
      </c>
      <c r="F77" s="4" t="inlineStr">
        <is>
          <t>EQ:NCG.18</t>
        </is>
      </c>
    </row>
    <row r="78">
      <c r="A78" s="4" t="inlineStr">
        <is>
          <t>VAR-0092</t>
        </is>
      </c>
      <c r="B78" s="4" t="inlineStr">
        <is>
          <t>S_zeta</t>
        </is>
      </c>
      <c r="C78" s="4" t="n"/>
      <c r="D78" s="4" t="n"/>
      <c r="E78" s="4" t="inlineStr">
        <is>
          <t>EQUATION-REFERENCED</t>
        </is>
      </c>
      <c r="F78" s="4" t="inlineStr">
        <is>
          <t>EQ:NCG.19</t>
        </is>
      </c>
    </row>
    <row r="79">
      <c r="A79" s="4" t="inlineStr">
        <is>
          <t>VAR-0093</t>
        </is>
      </c>
      <c r="B79" s="4" t="inlineStr">
        <is>
          <t>Index</t>
        </is>
      </c>
      <c r="C79" s="4" t="n"/>
      <c r="D79" s="4" t="n"/>
      <c r="E79" s="4" t="inlineStr">
        <is>
          <t>EQUATION-REFERENCED</t>
        </is>
      </c>
      <c r="F79" s="4" t="inlineStr">
        <is>
          <t>EQ:NCG.20</t>
        </is>
      </c>
    </row>
    <row r="80">
      <c r="A80" s="4" t="inlineStr">
        <is>
          <t>VAR-0094</t>
        </is>
      </c>
      <c r="B80" s="4" t="inlineStr">
        <is>
          <t>dim</t>
        </is>
      </c>
      <c r="C80" s="4" t="n"/>
      <c r="D80" s="4" t="n"/>
      <c r="E80" s="4" t="inlineStr">
        <is>
          <t>EQUATION-REFERENCED</t>
        </is>
      </c>
      <c r="F80" s="4" t="inlineStr">
        <is>
          <t>EQ:NCG.20</t>
        </is>
      </c>
    </row>
    <row r="81">
      <c r="A81" s="4" t="inlineStr">
        <is>
          <t>VAR-0095</t>
        </is>
      </c>
      <c r="B81" s="4" t="inlineStr">
        <is>
          <t>ker</t>
        </is>
      </c>
      <c r="C81" s="4" t="n"/>
      <c r="D81" s="4" t="n"/>
      <c r="E81" s="4" t="inlineStr">
        <is>
          <t>EQUATION-REFERENCED</t>
        </is>
      </c>
      <c r="F81" s="4" t="inlineStr">
        <is>
          <t>EQ:NCG.20; EQ:SP.20</t>
        </is>
      </c>
    </row>
    <row r="82">
      <c r="A82" s="4" t="inlineStr">
        <is>
          <t>VAR-0096</t>
        </is>
      </c>
      <c r="B82" s="4" t="inlineStr">
        <is>
          <t>dag</t>
        </is>
      </c>
      <c r="C82" s="4" t="n"/>
      <c r="D82" s="4" t="n"/>
      <c r="E82" s="4" t="inlineStr">
        <is>
          <t>EQUATION-REFERENCED</t>
        </is>
      </c>
      <c r="F82" s="4" t="inlineStr">
        <is>
          <t>EQ:NCG.20; EQ:SP.16</t>
        </is>
      </c>
    </row>
    <row r="83">
      <c r="A83" s="4" t="inlineStr">
        <is>
          <t>VAR-0097</t>
        </is>
      </c>
      <c r="B83" s="4" t="inlineStr">
        <is>
          <t>M_3</t>
        </is>
      </c>
      <c r="C83" s="4" t="n"/>
      <c r="D83" s="4" t="n"/>
      <c r="E83" s="4" t="inlineStr">
        <is>
          <t>EQUATION-REFERENCED</t>
        </is>
      </c>
      <c r="F83" s="4" t="inlineStr">
        <is>
          <t>EQ:NCG.26</t>
        </is>
      </c>
    </row>
    <row r="84">
      <c r="A84" s="4" t="inlineStr">
        <is>
          <t>VAR-0098</t>
        </is>
      </c>
      <c r="B84" s="4" t="inlineStr">
        <is>
          <t>SU</t>
        </is>
      </c>
      <c r="C84" s="4" t="n"/>
      <c r="D84" s="4" t="n"/>
      <c r="E84" s="4" t="inlineStr">
        <is>
          <t>EQUATION-REFERENCED</t>
        </is>
      </c>
      <c r="F84" s="4" t="inlineStr">
        <is>
          <t>EQ:NCG.27</t>
        </is>
      </c>
    </row>
    <row r="85">
      <c r="A85" s="4" t="inlineStr">
        <is>
          <t>VAR-0099</t>
        </is>
      </c>
      <c r="B85" s="4" t="inlineStr">
        <is>
          <t>U</t>
        </is>
      </c>
      <c r="C85" s="4" t="n"/>
      <c r="D85" s="4" t="n"/>
      <c r="E85" s="4" t="inlineStr">
        <is>
          <t>EQUATION-REFERENCED</t>
        </is>
      </c>
      <c r="F85" s="4" t="inlineStr">
        <is>
          <t>EQ:NCG.27; EQ:SP.10; EQ:SP.11; EQ:QM.5</t>
        </is>
      </c>
    </row>
    <row r="86">
      <c r="A86" s="4" t="inlineStr">
        <is>
          <t>VAR-0100</t>
        </is>
      </c>
      <c r="B86" s="4" t="inlineStr">
        <is>
          <t>g_1</t>
        </is>
      </c>
      <c r="C86" s="4" t="n"/>
      <c r="D86" s="4" t="n"/>
      <c r="E86" s="4" t="inlineStr">
        <is>
          <t>EQUATION-REFERENCED</t>
        </is>
      </c>
      <c r="F86" s="4" t="inlineStr">
        <is>
          <t>EQ:NCG.28</t>
        </is>
      </c>
    </row>
    <row r="87">
      <c r="A87" s="4" t="inlineStr">
        <is>
          <t>VAR-0101</t>
        </is>
      </c>
      <c r="B87" s="4" t="inlineStr">
        <is>
          <t>g_2</t>
        </is>
      </c>
      <c r="C87" s="4" t="n"/>
      <c r="D87" s="4" t="n"/>
      <c r="E87" s="4" t="inlineStr">
        <is>
          <t>EQUATION-REFERENCED</t>
        </is>
      </c>
      <c r="F87" s="4" t="inlineStr">
        <is>
          <t>EQ:NCG.28</t>
        </is>
      </c>
    </row>
    <row r="88">
      <c r="A88" s="4" t="inlineStr">
        <is>
          <t>VAR-0102</t>
        </is>
      </c>
      <c r="B88" s="4" t="inlineStr">
        <is>
          <t>g_3</t>
        </is>
      </c>
      <c r="C88" s="4" t="n"/>
      <c r="D88" s="4" t="n"/>
      <c r="E88" s="4" t="inlineStr">
        <is>
          <t>EQUATION-REFERENCED</t>
        </is>
      </c>
      <c r="F88" s="4" t="inlineStr">
        <is>
          <t>EQ:NCG.28</t>
        </is>
      </c>
    </row>
    <row r="89">
      <c r="A89" s="4" t="inlineStr">
        <is>
          <t>VAR-0103</t>
        </is>
      </c>
      <c r="B89" s="4" t="inlineStr">
        <is>
          <t>m_H</t>
        </is>
      </c>
      <c r="C89" s="4" t="n"/>
      <c r="D89" s="4" t="n"/>
      <c r="E89" s="4" t="inlineStr">
        <is>
          <t>EQUATION-REFERENCED</t>
        </is>
      </c>
      <c r="F89" s="4" t="inlineStr">
        <is>
          <t>EQ:NCG.29</t>
        </is>
      </c>
    </row>
    <row r="90">
      <c r="A90" s="4" t="inlineStr">
        <is>
          <t>VAR-0104</t>
        </is>
      </c>
      <c r="B90" s="4" t="inlineStr">
        <is>
          <t>GeV</t>
        </is>
      </c>
      <c r="C90" s="4" t="n"/>
      <c r="D90" s="4" t="n"/>
      <c r="E90" s="4" t="inlineStr">
        <is>
          <t>EQUATION-REFERENCED</t>
        </is>
      </c>
      <c r="F90" s="4" t="inlineStr">
        <is>
          <t>EQ:NCG.29</t>
        </is>
      </c>
    </row>
    <row r="91">
      <c r="A91" s="4" t="inlineStr">
        <is>
          <t>VAR-0105</t>
        </is>
      </c>
      <c r="B91" s="4" t="inlineStr">
        <is>
          <t>m_nu</t>
        </is>
      </c>
      <c r="C91" s="4" t="n"/>
      <c r="D91" s="4" t="n"/>
      <c r="E91" s="4" t="inlineStr">
        <is>
          <t>EQUATION-REFERENCED</t>
        </is>
      </c>
      <c r="F91" s="4" t="inlineStr">
        <is>
          <t>EQ:NCG.30</t>
        </is>
      </c>
    </row>
    <row r="92">
      <c r="A92" s="4" t="inlineStr">
        <is>
          <t>VAR-0106</t>
        </is>
      </c>
      <c r="B92" s="4" t="inlineStr">
        <is>
          <t>m_D</t>
        </is>
      </c>
      <c r="C92" s="4" t="n"/>
      <c r="D92" s="4" t="n"/>
      <c r="E92" s="4" t="inlineStr">
        <is>
          <t>EQUATION-REFERENCED</t>
        </is>
      </c>
      <c r="F92" s="4" t="inlineStr">
        <is>
          <t>EQ:NCG.30</t>
        </is>
      </c>
    </row>
    <row r="93">
      <c r="A93" s="4" t="inlineStr">
        <is>
          <t>VAR-0107</t>
        </is>
      </c>
      <c r="B93" s="4" t="inlineStr">
        <is>
          <t>T</t>
        </is>
      </c>
      <c r="C93" s="4" t="n"/>
      <c r="D93" s="4" t="n"/>
      <c r="E93" s="4" t="inlineStr">
        <is>
          <t>EQUATION-REFERENCED</t>
        </is>
      </c>
      <c r="F93" s="4" t="inlineStr">
        <is>
          <t>EQ:NCG.30; EQ:SP.8; EQ:SP.9; EQ:SP.19; EQ:GE.13; EQ:PE.13; EQ:PH.10; EQ:QM.4; EQ:QM.5; EQ:QM.6; EQ:QM.8; EQ:LH.3; EQ:LH.6; EQ:OD.4; EQ:OD.5; EQ:MC.17; EQ:MC.20</t>
        </is>
      </c>
    </row>
    <row r="94">
      <c r="A94" s="4" t="inlineStr">
        <is>
          <t>VAR-0108</t>
        </is>
      </c>
      <c r="B94" s="4" t="inlineStr">
        <is>
          <t>M_R</t>
        </is>
      </c>
      <c r="C94" s="4" t="n"/>
      <c r="D94" s="4" t="n"/>
      <c r="E94" s="4" t="inlineStr">
        <is>
          <t>EQUATION-REFERENCED</t>
        </is>
      </c>
      <c r="F94" s="4" t="inlineStr">
        <is>
          <t>EQ:NCG.30</t>
        </is>
      </c>
    </row>
    <row r="95">
      <c r="A95" s="4" t="inlineStr">
        <is>
          <t>VAR-0109</t>
        </is>
      </c>
      <c r="B95" s="4" t="inlineStr">
        <is>
          <t>dist</t>
        </is>
      </c>
      <c r="C95" s="4" t="n"/>
      <c r="D95" s="4" t="n"/>
      <c r="E95" s="4" t="inlineStr">
        <is>
          <t>EQUATION-REFERENCED</t>
        </is>
      </c>
      <c r="F95" s="4" t="inlineStr">
        <is>
          <t>EQ:NCG.31</t>
        </is>
      </c>
    </row>
    <row r="96">
      <c r="A96" s="4" t="inlineStr">
        <is>
          <t>VAR-0110</t>
        </is>
      </c>
      <c r="B96" s="4" t="inlineStr">
        <is>
          <t>y</t>
        </is>
      </c>
      <c r="C96" s="4" t="n"/>
      <c r="D96" s="4" t="n"/>
      <c r="E96" s="4" t="inlineStr">
        <is>
          <t>EQUATION-REFERENCED</t>
        </is>
      </c>
      <c r="F96" s="4" t="inlineStr">
        <is>
          <t>EQ:NCG.31; EQ:PE.1; EQ:PE.7; EQ:PE.8; EQ:PE.9; EQ:PE.10; EQ:MC.14; EQ:MC.15; EQ:MC.16</t>
        </is>
      </c>
    </row>
    <row r="97">
      <c r="A97" s="4" t="inlineStr">
        <is>
          <t>VAR-0111</t>
        </is>
      </c>
      <c r="B97" s="4" t="inlineStr">
        <is>
          <t>sup</t>
        </is>
      </c>
      <c r="C97" s="4" t="n"/>
      <c r="D97" s="4" t="n"/>
      <c r="E97" s="4" t="inlineStr">
        <is>
          <t>EQUATION-REFERENCED</t>
        </is>
      </c>
      <c r="F97" s="4" t="inlineStr">
        <is>
          <t>EQ:NCG.31</t>
        </is>
      </c>
    </row>
    <row r="98">
      <c r="A98" s="4" t="inlineStr">
        <is>
          <t>VAR-0112</t>
        </is>
      </c>
      <c r="B98" s="4" t="inlineStr">
        <is>
          <t>a</t>
        </is>
      </c>
      <c r="C98" s="4" t="n"/>
      <c r="D98" s="4" t="n"/>
      <c r="E98" s="4" t="inlineStr">
        <is>
          <t>EQUATION-REFERENCED</t>
        </is>
      </c>
      <c r="F98" s="4" t="inlineStr">
        <is>
          <t>EQ:NCG.32; EQ:NCG.33; EQ:GE.4; EQ:PE.11</t>
        </is>
      </c>
    </row>
    <row r="99">
      <c r="A99" s="4" t="inlineStr">
        <is>
          <t>VAR-0113</t>
        </is>
      </c>
      <c r="B99" s="4" t="inlineStr">
        <is>
          <t>b</t>
        </is>
      </c>
      <c r="C99" s="4" t="n"/>
      <c r="D99" s="4" t="n"/>
      <c r="E99" s="4" t="inlineStr">
        <is>
          <t>EQUATION-REFERENCED</t>
        </is>
      </c>
      <c r="F99" s="4" t="inlineStr">
        <is>
          <t>EQ:NCG.33; EQ:GE.4</t>
        </is>
      </c>
    </row>
    <row r="100">
      <c r="A100" s="4" t="inlineStr">
        <is>
          <t>VAR-0114</t>
        </is>
      </c>
      <c r="B100" s="4" t="inlineStr">
        <is>
          <t>subset</t>
        </is>
      </c>
      <c r="C100" s="4" t="n"/>
      <c r="D100" s="4" t="n"/>
      <c r="E100" s="4" t="inlineStr">
        <is>
          <t>EQUATION-REFERENCED</t>
        </is>
      </c>
      <c r="F100" s="4" t="inlineStr">
        <is>
          <t>EQ:NCG.34</t>
        </is>
      </c>
    </row>
    <row r="101">
      <c r="A101" s="4" t="inlineStr">
        <is>
          <t>VAR-0115</t>
        </is>
      </c>
      <c r="B101" s="4" t="inlineStr">
        <is>
          <t>B</t>
        </is>
      </c>
      <c r="C101" s="4" t="n"/>
      <c r="D101" s="4" t="n"/>
      <c r="E101" s="4" t="inlineStr">
        <is>
          <t>EQUATION-REFERENCED</t>
        </is>
      </c>
      <c r="F101" s="4" t="inlineStr">
        <is>
          <t>EQ:NCG.34; EQ:SP.9; EQ:GE.7; EQ:PH.6; EQ:PH.8</t>
        </is>
      </c>
    </row>
    <row r="102">
      <c r="A102" s="4" t="inlineStr">
        <is>
          <t>VAR-0116</t>
        </is>
      </c>
      <c r="B102" s="4" t="inlineStr">
        <is>
          <t>chi</t>
        </is>
      </c>
      <c r="C102" s="4" t="n"/>
      <c r="D102" s="4" t="n"/>
      <c r="E102" s="4" t="inlineStr">
        <is>
          <t>EQUATION-REFERENCED</t>
        </is>
      </c>
      <c r="F102" s="4" t="inlineStr">
        <is>
          <t>EQ:NCG.36</t>
        </is>
      </c>
    </row>
    <row r="103">
      <c r="A103" s="4" t="inlineStr">
        <is>
          <t>VAR-0117</t>
        </is>
      </c>
      <c r="B103" s="4" t="inlineStr">
        <is>
          <t>V</t>
        </is>
      </c>
      <c r="C103" s="4" t="n"/>
      <c r="D103" s="4" t="n"/>
      <c r="E103" s="4" t="inlineStr">
        <is>
          <t>EQUATION-REFERENCED</t>
        </is>
      </c>
      <c r="F103" s="4" t="inlineStr">
        <is>
          <t>EQ:SP.1; EQ:GE.11; EQ:LH.3; EQ:LH.6</t>
        </is>
      </c>
    </row>
    <row r="104">
      <c r="A104" s="4" t="inlineStr">
        <is>
          <t>VAR-0118</t>
        </is>
      </c>
      <c r="B104" s="4" t="inlineStr">
        <is>
          <t>E</t>
        </is>
      </c>
      <c r="C104" s="4" t="n"/>
      <c r="D104" s="4" t="n"/>
      <c r="E104" s="4" t="inlineStr">
        <is>
          <t>EQUATION-REFERENCED</t>
        </is>
      </c>
      <c r="F104" s="4" t="inlineStr">
        <is>
          <t>EQ:SP.1; EQ:PH.5; EQ:PH.7; EQ:QM.2</t>
        </is>
      </c>
    </row>
    <row r="105">
      <c r="A105" s="4" t="inlineStr">
        <is>
          <t>VAR-0119</t>
        </is>
      </c>
      <c r="B105" s="4" t="inlineStr">
        <is>
          <t>D_deg</t>
        </is>
      </c>
      <c r="C105" s="4" t="n"/>
      <c r="D105" s="4" t="n"/>
      <c r="E105" s="4" t="inlineStr">
        <is>
          <t>EQUATION-REFERENCED</t>
        </is>
      </c>
      <c r="F105" s="4" t="inlineStr">
        <is>
          <t>EQ:SP.2; EQ:MC.3</t>
        </is>
      </c>
    </row>
    <row r="106">
      <c r="A106" s="4" t="inlineStr">
        <is>
          <t>VAR-0120</t>
        </is>
      </c>
      <c r="B106" s="4" t="inlineStr">
        <is>
          <t>phi</t>
        </is>
      </c>
      <c r="C106" s="4" t="n"/>
      <c r="D106" s="4" t="n"/>
      <c r="E106" s="4" t="inlineStr">
        <is>
          <t>EQUATION-REFERENCED</t>
        </is>
      </c>
      <c r="F106" s="4" t="inlineStr">
        <is>
          <t>EQ:SP.3; EQ:GE.5; EQ:PH.2; EQ:PH.3; EQ:PH.12</t>
        </is>
      </c>
    </row>
    <row r="107">
      <c r="A107" s="4" t="inlineStr">
        <is>
          <t>VAR-0121</t>
        </is>
      </c>
      <c r="B107" s="4" t="inlineStr">
        <is>
          <t>lambda</t>
        </is>
      </c>
      <c r="C107" s="4" t="n"/>
      <c r="D107" s="4" t="n"/>
      <c r="E107" s="4" t="inlineStr">
        <is>
          <t>EQUATION-REFERENCED</t>
        </is>
      </c>
      <c r="F107" s="4" t="inlineStr">
        <is>
          <t>EQ:SP.3</t>
        </is>
      </c>
    </row>
    <row r="108">
      <c r="A108" s="4" t="inlineStr">
        <is>
          <t>VAR-0122</t>
        </is>
      </c>
      <c r="B108" s="4" t="inlineStr">
        <is>
          <t>lambda_1</t>
        </is>
      </c>
      <c r="C108" s="4" t="n"/>
      <c r="D108" s="4" t="n"/>
      <c r="E108" s="4" t="inlineStr">
        <is>
          <t>EQUATION-REFERENCED</t>
        </is>
      </c>
      <c r="F108" s="4" t="inlineStr">
        <is>
          <t>EQ:SP.4</t>
        </is>
      </c>
    </row>
    <row r="109">
      <c r="A109" s="4" t="inlineStr">
        <is>
          <t>VAR-0123</t>
        </is>
      </c>
      <c r="B109" s="4" t="inlineStr">
        <is>
          <t>lambda_2</t>
        </is>
      </c>
      <c r="C109" s="4" t="n"/>
      <c r="D109" s="4" t="n"/>
      <c r="E109" s="4" t="inlineStr">
        <is>
          <t>EQUATION-REFERENCED</t>
        </is>
      </c>
      <c r="F109" s="4" t="inlineStr">
        <is>
          <t>EQ:SP.4</t>
        </is>
      </c>
    </row>
    <row r="110">
      <c r="A110" s="4" t="inlineStr">
        <is>
          <t>VAR-0124</t>
        </is>
      </c>
      <c r="B110" s="4" t="inlineStr">
        <is>
          <t>lambda_n</t>
        </is>
      </c>
      <c r="C110" s="4" t="n"/>
      <c r="D110" s="4" t="n"/>
      <c r="E110" s="4" t="inlineStr">
        <is>
          <t>EQUATION-REFERENCED</t>
        </is>
      </c>
      <c r="F110" s="4" t="inlineStr">
        <is>
          <t>EQ:SP.4</t>
        </is>
      </c>
    </row>
    <row r="111">
      <c r="A111" s="4" t="inlineStr">
        <is>
          <t>VAR-0125</t>
        </is>
      </c>
      <c r="B111" s="4" t="inlineStr">
        <is>
          <t>lambda_0</t>
        </is>
      </c>
      <c r="C111" s="4" t="n"/>
      <c r="D111" s="4" t="n"/>
      <c r="E111" s="4" t="inlineStr">
        <is>
          <t>EQUATION-REFERENCED</t>
        </is>
      </c>
      <c r="F111" s="4" t="inlineStr">
        <is>
          <t>EQ:SP.5</t>
        </is>
      </c>
    </row>
    <row r="112">
      <c r="A112" s="4" t="inlineStr">
        <is>
          <t>VAR-0126</t>
        </is>
      </c>
      <c r="B112" s="4" t="inlineStr">
        <is>
          <t>phi_i</t>
        </is>
      </c>
      <c r="C112" s="4" t="n"/>
      <c r="D112" s="4" t="n"/>
      <c r="E112" s="4" t="inlineStr">
        <is>
          <t>EQUATION-REFERENCED</t>
        </is>
      </c>
      <c r="F112" s="4" t="inlineStr">
        <is>
          <t>EQ:SP.8; EQ:SP.14; EQ:MC.4</t>
        </is>
      </c>
    </row>
    <row r="113">
      <c r="A113" s="4" t="inlineStr">
        <is>
          <t>VAR-0127</t>
        </is>
      </c>
      <c r="B113" s="4" t="inlineStr">
        <is>
          <t>phi_j</t>
        </is>
      </c>
      <c r="C113" s="4" t="n"/>
      <c r="D113" s="4" t="n"/>
      <c r="E113" s="4" t="inlineStr">
        <is>
          <t>EQUATION-REFERENCED</t>
        </is>
      </c>
      <c r="F113" s="4" t="inlineStr">
        <is>
          <t>EQ:SP.8</t>
        </is>
      </c>
    </row>
    <row r="114">
      <c r="A114" s="4" t="inlineStr">
        <is>
          <t>VAR-0128</t>
        </is>
      </c>
      <c r="B114" s="4" t="inlineStr">
        <is>
          <t>delta_</t>
        </is>
      </c>
      <c r="C114" s="4" t="n"/>
      <c r="D114" s="4" t="n"/>
      <c r="E114" s="4" t="inlineStr">
        <is>
          <t>EQUATION-REFERENCED</t>
        </is>
      </c>
      <c r="F114" s="4" t="inlineStr">
        <is>
          <t>EQ:SP.8</t>
        </is>
      </c>
    </row>
    <row r="115">
      <c r="A115" s="4" t="inlineStr">
        <is>
          <t>VAR-0129</t>
        </is>
      </c>
      <c r="B115" s="4" t="inlineStr">
        <is>
          <t>ij</t>
        </is>
      </c>
      <c r="C115" s="4" t="n"/>
      <c r="D115" s="4" t="n"/>
      <c r="E115" s="4" t="inlineStr">
        <is>
          <t>EQUATION-REFERENCED</t>
        </is>
      </c>
      <c r="F115" s="4" t="inlineStr">
        <is>
          <t>EQ:SP.8; EQ:SP.25</t>
        </is>
      </c>
    </row>
    <row r="116">
      <c r="A116" s="4" t="inlineStr">
        <is>
          <t>VAR-0130</t>
        </is>
      </c>
      <c r="B116" s="4" t="inlineStr">
        <is>
          <t>det</t>
        </is>
      </c>
      <c r="C116" s="4" t="n"/>
      <c r="D116" s="4" t="n"/>
      <c r="E116" s="4" t="inlineStr">
        <is>
          <t>EQUATION-REFERENCED</t>
        </is>
      </c>
      <c r="F116" s="4" t="inlineStr">
        <is>
          <t>EQ:SP.15; EQ:CV.12</t>
        </is>
      </c>
    </row>
    <row r="117">
      <c r="A117" s="4" t="inlineStr">
        <is>
          <t>VAR-0131</t>
        </is>
      </c>
      <c r="B117" s="4" t="inlineStr">
        <is>
          <t>eps</t>
        </is>
      </c>
      <c r="C117" s="4" t="n"/>
      <c r="D117" s="4" t="n"/>
      <c r="E117" s="4" t="inlineStr">
        <is>
          <t>EQUATION-REFERENCED</t>
        </is>
      </c>
      <c r="F117" s="4" t="inlineStr">
        <is>
          <t>EQ:SP.15; EQ:GE.9</t>
        </is>
      </c>
    </row>
    <row r="118">
      <c r="A118" s="4" t="inlineStr">
        <is>
          <t>VAR-0132</t>
        </is>
      </c>
      <c r="B118" s="4" t="inlineStr">
        <is>
          <t>I</t>
        </is>
      </c>
      <c r="C118" s="4" t="n"/>
      <c r="D118" s="4" t="n"/>
      <c r="E118" s="4" t="inlineStr">
        <is>
          <t>EQUATION-REFERENCED</t>
        </is>
      </c>
      <c r="F118" s="4" t="inlineStr">
        <is>
          <t>EQ:SP.15; EQ:OD.15</t>
        </is>
      </c>
    </row>
    <row r="119">
      <c r="A119" s="4" t="inlineStr">
        <is>
          <t>VAR-0133</t>
        </is>
      </c>
      <c r="B119" s="4" t="inlineStr">
        <is>
          <t>d</t>
        </is>
      </c>
      <c r="C119" s="4" t="n"/>
      <c r="D119" s="4" t="n"/>
      <c r="E119" s="4" t="inlineStr">
        <is>
          <t>EQUATION-REFERENCED</t>
        </is>
      </c>
      <c r="F119" s="4" t="inlineStr">
        <is>
          <t>EQ:SP.16; EQ:SP.17; EQ:SP.18; EQ:SP.20; EQ:SP.21; EQ:GE.1; EQ:GE.4; EQ:GE.10; EQ:PE.4; EQ:CV.11; EQ:PH.1; EQ:PH.2; EQ:PH.3; EQ:QM.1; EQ:OD.14; EQ:OD.15; EQ:MC.7; EQ:MC.8</t>
        </is>
      </c>
    </row>
    <row r="120">
      <c r="A120" s="4" t="inlineStr">
        <is>
          <t>VAR-0134</t>
        </is>
      </c>
      <c r="B120" s="4" t="inlineStr">
        <is>
          <t>delta</t>
        </is>
      </c>
      <c r="C120" s="4" t="n"/>
      <c r="D120" s="4" t="n"/>
      <c r="E120" s="4" t="inlineStr">
        <is>
          <t>EQUATION-REFERENCED</t>
        </is>
      </c>
      <c r="F120" s="4" t="inlineStr">
        <is>
          <t>EQ:SP.17; EQ:SP.21; EQ:PE.3; EQ:PE.5; EQ:PE.12; EQ:QM.4; EQ:LH.1; EQ:MC.13; EQ:MC.15</t>
        </is>
      </c>
    </row>
    <row r="121">
      <c r="A121" s="4" t="inlineStr">
        <is>
          <t>VAR-0135</t>
        </is>
      </c>
      <c r="B121" s="4" t="inlineStr">
        <is>
          <t>k</t>
        </is>
      </c>
      <c r="C121" s="4" t="n"/>
      <c r="D121" s="4" t="n"/>
      <c r="E121" s="4" t="inlineStr">
        <is>
          <t>EQUATION-REFERENCED</t>
        </is>
      </c>
      <c r="F121" s="4" t="inlineStr">
        <is>
          <t>EQ:SP.19; EQ:SP.20; EQ:SP.21</t>
        </is>
      </c>
    </row>
    <row r="122">
      <c r="A122" s="4" t="inlineStr">
        <is>
          <t>VAR-0136</t>
        </is>
      </c>
      <c r="B122" s="4" t="inlineStr">
        <is>
          <t>im</t>
        </is>
      </c>
      <c r="C122" s="4" t="n"/>
      <c r="D122" s="4" t="n"/>
      <c r="E122" s="4" t="inlineStr">
        <is>
          <t>EQUATION-REFERENCED</t>
        </is>
      </c>
      <c r="F122" s="4" t="inlineStr">
        <is>
          <t>EQ:SP.20; EQ:SP.21</t>
        </is>
      </c>
    </row>
    <row r="123">
      <c r="A123" s="4" t="inlineStr">
        <is>
          <t>VAR-0137</t>
        </is>
      </c>
      <c r="B123" s="4" t="inlineStr">
        <is>
          <t>mu_i</t>
        </is>
      </c>
      <c r="C123" s="4" t="n"/>
      <c r="D123" s="4" t="n"/>
      <c r="E123" s="4" t="inlineStr">
        <is>
          <t>EQUATION-REFERENCED</t>
        </is>
      </c>
      <c r="F123" s="4" t="inlineStr">
        <is>
          <t>EQ:SP.22</t>
        </is>
      </c>
    </row>
    <row r="124">
      <c r="A124" s="4" t="inlineStr">
        <is>
          <t>VAR-0138</t>
        </is>
      </c>
      <c r="B124" s="4" t="inlineStr">
        <is>
          <t>Delta_g</t>
        </is>
      </c>
      <c r="C124" s="4" t="n"/>
      <c r="D124" s="4" t="n"/>
      <c r="E124" s="4" t="inlineStr">
        <is>
          <t>EQUATION-REFERENCED</t>
        </is>
      </c>
      <c r="F124" s="4" t="inlineStr">
        <is>
          <t>EQ:SP.25; EQ:GE.9</t>
        </is>
      </c>
    </row>
    <row r="125">
      <c r="A125" s="4" t="inlineStr">
        <is>
          <t>VAR-0139</t>
        </is>
      </c>
      <c r="B125" s="4" t="inlineStr">
        <is>
          <t>sqrt</t>
        </is>
      </c>
      <c r="C125" s="4" t="n"/>
      <c r="D125" s="4" t="n"/>
      <c r="E125" s="4" t="inlineStr">
        <is>
          <t>EQUATION-REFERENCED</t>
        </is>
      </c>
      <c r="F125" s="4" t="inlineStr">
        <is>
          <t>EQ:SP.25; EQ:GE.1; EQ:CV.11; EQ:CV.12; EQ:MC.7</t>
        </is>
      </c>
    </row>
    <row r="126">
      <c r="A126" s="4" t="inlineStr">
        <is>
          <t>VAR-0140</t>
        </is>
      </c>
      <c r="B126" s="4" t="inlineStr">
        <is>
          <t>g</t>
        </is>
      </c>
      <c r="C126" s="4" t="n"/>
      <c r="D126" s="4" t="n"/>
      <c r="E126" s="4" t="inlineStr">
        <is>
          <t>EQUATION-REFERENCED</t>
        </is>
      </c>
      <c r="F126" s="4" t="inlineStr">
        <is>
          <t>EQ:SP.25; EQ:GE.14; EQ:PE.7; EQ:PE.9; EQ:PE.13; EQ:CV.1; EQ:CV.4; EQ:CV.11; EQ:CV.12; EQ:LH.7; EQ:MC.15</t>
        </is>
      </c>
    </row>
    <row r="127">
      <c r="A127" s="4" t="inlineStr">
        <is>
          <t>VAR-0141</t>
        </is>
      </c>
      <c r="B127" s="4" t="inlineStr">
        <is>
          <t>d_i</t>
        </is>
      </c>
      <c r="C127" s="4" t="n"/>
      <c r="D127" s="4" t="n"/>
      <c r="E127" s="4" t="inlineStr">
        <is>
          <t>EQUATION-REFERENCED</t>
        </is>
      </c>
      <c r="F127" s="4" t="inlineStr">
        <is>
          <t>EQ:SP.25</t>
        </is>
      </c>
    </row>
    <row r="128">
      <c r="A128" s="4" t="inlineStr">
        <is>
          <t>VAR-0142</t>
        </is>
      </c>
      <c r="B128" s="4" t="inlineStr">
        <is>
          <t>d_j</t>
        </is>
      </c>
      <c r="C128" s="4" t="n"/>
      <c r="D128" s="4" t="n"/>
      <c r="E128" s="4" t="inlineStr">
        <is>
          <t>EQUATION-REFERENCED</t>
        </is>
      </c>
      <c r="F128" s="4" t="inlineStr">
        <is>
          <t>EQ:SP.25</t>
        </is>
      </c>
    </row>
    <row r="129">
      <c r="A129" s="4" t="inlineStr">
        <is>
          <t>VAR-0143</t>
        </is>
      </c>
      <c r="B129" s="4" t="inlineStr">
        <is>
          <t>i</t>
        </is>
      </c>
      <c r="C129" s="4" t="n"/>
      <c r="D129" s="4" t="n"/>
      <c r="E129" s="4" t="inlineStr">
        <is>
          <t>EQUATION-REFERENCED</t>
        </is>
      </c>
      <c r="F129" s="4" t="inlineStr">
        <is>
          <t>EQ:GE.1; EQ:QM.1; EQ:MC.7; EQ:MC.8</t>
        </is>
      </c>
    </row>
    <row r="130">
      <c r="A130" s="4" t="inlineStr">
        <is>
          <t>VAR-0144</t>
        </is>
      </c>
      <c r="B130" s="4" t="inlineStr">
        <is>
          <t>j</t>
        </is>
      </c>
      <c r="C130" s="4" t="n"/>
      <c r="D130" s="4" t="n"/>
      <c r="E130" s="4" t="inlineStr">
        <is>
          <t>EQUATION-REFERENCED</t>
        </is>
      </c>
      <c r="F130" s="4" t="inlineStr">
        <is>
          <t>EQ:GE.1; EQ:MC.7; EQ:MC.8</t>
        </is>
      </c>
    </row>
    <row r="131">
      <c r="A131" s="4" t="inlineStr">
        <is>
          <t>VAR-0145</t>
        </is>
      </c>
      <c r="B131" s="4" t="inlineStr">
        <is>
          <t>sum_k</t>
        </is>
      </c>
      <c r="C131" s="4" t="n"/>
      <c r="D131" s="4" t="n"/>
      <c r="E131" s="4" t="inlineStr">
        <is>
          <t>EQUATION-REFERENCED</t>
        </is>
      </c>
      <c r="F131" s="4" t="inlineStr">
        <is>
          <t>EQ:GE.1; EQ:GE.2; EQ:MC.7; EQ:MC.8</t>
        </is>
      </c>
    </row>
    <row r="132">
      <c r="A132" s="4" t="inlineStr">
        <is>
          <t>VAR-0146</t>
        </is>
      </c>
      <c r="B132" s="4" t="inlineStr">
        <is>
          <t>phi_k</t>
        </is>
      </c>
      <c r="C132" s="4" t="n"/>
      <c r="D132" s="4" t="n"/>
      <c r="E132" s="4" t="inlineStr">
        <is>
          <t>EQUATION-REFERENCED</t>
        </is>
      </c>
      <c r="F132" s="4" t="inlineStr">
        <is>
          <t>EQ:GE.1; EQ:GE.2; EQ:MC.7; EQ:MC.8</t>
        </is>
      </c>
    </row>
    <row r="133">
      <c r="A133" s="4" t="inlineStr">
        <is>
          <t>VAR-0147</t>
        </is>
      </c>
      <c r="B133" s="4" t="inlineStr">
        <is>
          <t>lambda_k</t>
        </is>
      </c>
      <c r="C133" s="4" t="n"/>
      <c r="D133" s="4" t="n"/>
      <c r="E133" s="4" t="inlineStr">
        <is>
          <t>EQUATION-REFERENCED</t>
        </is>
      </c>
      <c r="F133" s="4" t="inlineStr">
        <is>
          <t>EQ:GE.1; EQ:GE.2; EQ:MC.7; EQ:MC.8</t>
        </is>
      </c>
    </row>
    <row r="134">
      <c r="A134" s="4" t="inlineStr">
        <is>
          <t>VAR-0148</t>
        </is>
      </c>
      <c r="B134" s="4" t="inlineStr">
        <is>
          <t>g_</t>
        </is>
      </c>
      <c r="C134" s="4" t="n"/>
      <c r="D134" s="4" t="n"/>
      <c r="E134" s="4" t="inlineStr">
        <is>
          <t>EQUATION-REFERENCED</t>
        </is>
      </c>
      <c r="F134" s="4" t="inlineStr">
        <is>
          <t>EQ:GE.2; EQ:GE.3; EQ:GE.4; EQ:GE.12; EQ:PE.1; EQ:CV.1; EQ:CV.5; EQ:CV.6; EQ:CV.12; EQ:MC.8; EQ:MC.9; EQ:MC.11; EQ:MC.14</t>
        </is>
      </c>
    </row>
    <row r="135">
      <c r="A135" s="4" t="inlineStr">
        <is>
          <t>VAR-0149</t>
        </is>
      </c>
      <c r="B135" s="4" t="inlineStr">
        <is>
          <t>ab</t>
        </is>
      </c>
      <c r="C135" s="4" t="n"/>
      <c r="D135" s="4" t="n"/>
      <c r="E135" s="4" t="inlineStr">
        <is>
          <t>EQUATION-REFERENCED</t>
        </is>
      </c>
      <c r="F135" s="4" t="inlineStr">
        <is>
          <t>EQ:GE.2; EQ:GE.4; EQ:PE.1; EQ:PE.7; EQ:PE.8; EQ:PE.9; EQ:CV.1; EQ:CV.3; EQ:CV.4; EQ:CV.5; EQ:CV.8; EQ:MC.8; EQ:MC.9; EQ:MC.10; EQ:MC.11; EQ:MC.14; EQ:MC.15; EQ:MC.16</t>
        </is>
      </c>
    </row>
    <row r="136">
      <c r="A136" s="4" t="inlineStr">
        <is>
          <t>VAR-0150</t>
        </is>
      </c>
      <c r="B136" s="4" t="inlineStr">
        <is>
          <t>d_a</t>
        </is>
      </c>
      <c r="C136" s="4" t="n"/>
      <c r="D136" s="4" t="n"/>
      <c r="E136" s="4" t="inlineStr">
        <is>
          <t>EQUATION-REFERENCED</t>
        </is>
      </c>
      <c r="F136" s="4" t="inlineStr">
        <is>
          <t>EQ:GE.2; EQ:CV.1; EQ:MC.8</t>
        </is>
      </c>
    </row>
    <row r="137">
      <c r="A137" s="4" t="inlineStr">
        <is>
          <t>VAR-0151</t>
        </is>
      </c>
      <c r="B137" s="4" t="inlineStr">
        <is>
          <t>d_b</t>
        </is>
      </c>
      <c r="C137" s="4" t="n"/>
      <c r="D137" s="4" t="n"/>
      <c r="E137" s="4" t="inlineStr">
        <is>
          <t>EQUATION-REFERENCED</t>
        </is>
      </c>
      <c r="F137" s="4" t="inlineStr">
        <is>
          <t>EQ:GE.2; EQ:CV.1; EQ:MC.8</t>
        </is>
      </c>
    </row>
    <row r="138">
      <c r="A138" s="4" t="inlineStr">
        <is>
          <t>VAR-0152</t>
        </is>
      </c>
      <c r="B138" s="4" t="inlineStr">
        <is>
          <t>ds</t>
        </is>
      </c>
      <c r="C138" s="4" t="n"/>
      <c r="D138" s="4" t="n"/>
      <c r="E138" s="4" t="inlineStr">
        <is>
          <t>EQUATION-REFERENCED</t>
        </is>
      </c>
      <c r="F138" s="4" t="inlineStr">
        <is>
          <t>EQ:GE.3</t>
        </is>
      </c>
    </row>
    <row r="139">
      <c r="A139" s="4" t="inlineStr">
        <is>
          <t>VAR-0153</t>
        </is>
      </c>
      <c r="B139" s="4" t="inlineStr">
        <is>
          <t>mu</t>
        </is>
      </c>
      <c r="C139" s="4" t="n"/>
      <c r="D139" s="4" t="n"/>
      <c r="E139" s="4" t="inlineStr">
        <is>
          <t>EQUATION-REFERENCED</t>
        </is>
      </c>
      <c r="F139" s="4" t="inlineStr">
        <is>
          <t>EQ:GE.3; EQ:GE.11; EQ:GE.13; EQ:GE.14; EQ:CV.6; EQ:CV.12; EQ:PH.4; EQ:PH.11; EQ:OD.13; EQ:MC.11</t>
        </is>
      </c>
    </row>
    <row r="140">
      <c r="A140" s="4" t="inlineStr">
        <is>
          <t>VAR-0154</t>
        </is>
      </c>
      <c r="B140" s="4" t="inlineStr">
        <is>
          <t>nu</t>
        </is>
      </c>
      <c r="C140" s="4" t="n"/>
      <c r="D140" s="4" t="n"/>
      <c r="E140" s="4" t="inlineStr">
        <is>
          <t>EQUATION-REFERENCED</t>
        </is>
      </c>
      <c r="F140" s="4" t="inlineStr">
        <is>
          <t>EQ:GE.3; EQ:GE.11; EQ:GE.13; EQ:GE.14; EQ:CV.6; EQ:CV.12; EQ:MC.11</t>
        </is>
      </c>
    </row>
    <row r="141">
      <c r="A141" s="4" t="inlineStr">
        <is>
          <t>VAR-0155</t>
        </is>
      </c>
      <c r="B141" s="4" t="inlineStr">
        <is>
          <t>dx</t>
        </is>
      </c>
      <c r="C141" s="4" t="n"/>
      <c r="D141" s="4" t="n"/>
      <c r="E141" s="4" t="inlineStr">
        <is>
          <t>EQUATION-REFERENCED</t>
        </is>
      </c>
      <c r="F141" s="4" t="inlineStr">
        <is>
          <t>EQ:GE.3; EQ:PE.2</t>
        </is>
      </c>
    </row>
    <row r="142">
      <c r="A142" s="4" t="inlineStr">
        <is>
          <t>VAR-0156</t>
        </is>
      </c>
      <c r="B142" s="4" t="inlineStr">
        <is>
          <t>dy</t>
        </is>
      </c>
      <c r="C142" s="4" t="n"/>
      <c r="D142" s="4" t="n"/>
      <c r="E142" s="4" t="inlineStr">
        <is>
          <t>EQUATION-REFERENCED</t>
        </is>
      </c>
      <c r="F142" s="4" t="inlineStr">
        <is>
          <t>EQ:GE.4; EQ:PE.4; EQ:PE.11</t>
        </is>
      </c>
    </row>
    <row r="143">
      <c r="A143" s="4" t="inlineStr">
        <is>
          <t>VAR-0157</t>
        </is>
      </c>
      <c r="B143" s="4" t="inlineStr">
        <is>
          <t>INT_M</t>
        </is>
      </c>
      <c r="C143" s="4" t="n"/>
      <c r="D143" s="4" t="n"/>
      <c r="E143" s="4" t="inlineStr">
        <is>
          <t>EQUATION-REFERENCED</t>
        </is>
      </c>
      <c r="F143" s="4" t="inlineStr">
        <is>
          <t>EQ:GE.5; EQ:CV.11</t>
        </is>
      </c>
    </row>
    <row r="144">
      <c r="A144" s="4" t="inlineStr">
        <is>
          <t>VAR-0158</t>
        </is>
      </c>
      <c r="B144" s="4" t="inlineStr">
        <is>
          <t>d_mu</t>
        </is>
      </c>
      <c r="C144" s="4" t="n"/>
      <c r="D144" s="4" t="n"/>
      <c r="E144" s="4" t="inlineStr">
        <is>
          <t>EQUATION-REFERENCED</t>
        </is>
      </c>
      <c r="F144" s="4" t="inlineStr">
        <is>
          <t>EQ:GE.5; EQ:GE.11</t>
        </is>
      </c>
    </row>
    <row r="145">
      <c r="A145" s="4" t="inlineStr">
        <is>
          <t>VAR-0159</t>
        </is>
      </c>
      <c r="B145" s="4" t="inlineStr">
        <is>
          <t>L_</t>
        </is>
      </c>
      <c r="C145" s="4" t="n"/>
      <c r="D145" s="4" t="n"/>
      <c r="E145" s="4" t="inlineStr">
        <is>
          <t>EQUATION-REFERENCED</t>
        </is>
      </c>
      <c r="F145" s="4" t="inlineStr">
        <is>
          <t>EQ:GE.9</t>
        </is>
      </c>
    </row>
    <row r="146">
      <c r="A146" s="4" t="inlineStr">
        <is>
          <t>VAR-0160</t>
        </is>
      </c>
      <c r="B146" s="4" t="inlineStr">
        <is>
          <t>G_eps</t>
        </is>
      </c>
      <c r="C146" s="4" t="n"/>
      <c r="D146" s="4" t="n"/>
      <c r="E146" s="4" t="inlineStr">
        <is>
          <t>EQUATION-REFERENCED</t>
        </is>
      </c>
      <c r="F146" s="4" t="inlineStr">
        <is>
          <t>EQ:GE.9</t>
        </is>
      </c>
    </row>
    <row r="147">
      <c r="A147" s="4" t="inlineStr">
        <is>
          <t>VAR-0161</t>
        </is>
      </c>
      <c r="B147" s="4" t="inlineStr">
        <is>
          <t>as</t>
        </is>
      </c>
      <c r="C147" s="4" t="n"/>
      <c r="D147" s="4" t="n"/>
      <c r="E147" s="4" t="inlineStr">
        <is>
          <t>EQUATION-REFERENCED</t>
        </is>
      </c>
      <c r="F147" s="4" t="inlineStr">
        <is>
          <t>EQ:GE.9</t>
        </is>
      </c>
    </row>
    <row r="148">
      <c r="A148" s="4" t="inlineStr">
        <is>
          <t>VAR-0162</t>
        </is>
      </c>
      <c r="B148" s="4" t="inlineStr">
        <is>
          <t>D_s</t>
        </is>
      </c>
      <c r="C148" s="4" t="n"/>
      <c r="D148" s="4" t="n"/>
      <c r="E148" s="4" t="inlineStr">
        <is>
          <t>EQUATION-REFERENCED</t>
        </is>
      </c>
      <c r="F148" s="4" t="inlineStr">
        <is>
          <t>EQ:GE.10</t>
        </is>
      </c>
    </row>
    <row r="149">
      <c r="A149" s="4" t="inlineStr">
        <is>
          <t>VAR-0163</t>
        </is>
      </c>
      <c r="B149" s="4" t="inlineStr">
        <is>
          <t>lim_</t>
        </is>
      </c>
      <c r="C149" s="4" t="n"/>
      <c r="D149" s="4" t="n"/>
      <c r="E149" s="4" t="inlineStr">
        <is>
          <t>EQUATION-REFERENCED</t>
        </is>
      </c>
      <c r="F149" s="4" t="inlineStr">
        <is>
          <t>EQ:GE.10; EQ:OD.3</t>
        </is>
      </c>
    </row>
    <row r="150">
      <c r="A150" s="4" t="inlineStr">
        <is>
          <t>VAR-0164</t>
        </is>
      </c>
      <c r="B150" s="4" t="inlineStr">
        <is>
          <t>ln</t>
        </is>
      </c>
      <c r="C150" s="4" t="n"/>
      <c r="D150" s="4" t="n"/>
      <c r="E150" s="4" t="inlineStr">
        <is>
          <t>EQUATION-REFERENCED</t>
        </is>
      </c>
      <c r="F150" s="4" t="inlineStr">
        <is>
          <t>EQ:GE.10; EQ:PE.2; EQ:QM.3; EQ:QM.8; EQ:QM.10; EQ:MC.17</t>
        </is>
      </c>
    </row>
    <row r="151">
      <c r="A151" s="4" t="inlineStr">
        <is>
          <t>VAR-0165</t>
        </is>
      </c>
      <c r="B151" s="4" t="inlineStr">
        <is>
          <t>P</t>
        </is>
      </c>
      <c r="C151" s="4" t="n"/>
      <c r="D151" s="4" t="n"/>
      <c r="E151" s="4" t="inlineStr">
        <is>
          <t>EQUATION-REFERENCED</t>
        </is>
      </c>
      <c r="F151" s="4" t="inlineStr">
        <is>
          <t>EQ:GE.10</t>
        </is>
      </c>
    </row>
    <row r="152">
      <c r="A152" s="4" t="inlineStr">
        <is>
          <t>VAR-0166</t>
        </is>
      </c>
      <c r="B152" s="4" t="inlineStr">
        <is>
          <t>nabla_mu</t>
        </is>
      </c>
      <c r="C152" s="4" t="n"/>
      <c r="D152" s="4" t="n"/>
      <c r="E152" s="4" t="inlineStr">
        <is>
          <t>EQUATION-REFERENCED</t>
        </is>
      </c>
      <c r="F152" s="4" t="inlineStr">
        <is>
          <t>EQ:GE.11; EQ:GE.13; EQ:GE.14</t>
        </is>
      </c>
    </row>
    <row r="153">
      <c r="A153" s="4" t="inlineStr">
        <is>
          <t>VAR-0167</t>
        </is>
      </c>
      <c r="B153" s="4" t="inlineStr">
        <is>
          <t>nu_</t>
        </is>
      </c>
      <c r="C153" s="4" t="n"/>
      <c r="D153" s="4" t="n"/>
      <c r="E153" s="4" t="inlineStr">
        <is>
          <t>EQUATION-REFERENCED</t>
        </is>
      </c>
      <c r="F153" s="4" t="inlineStr">
        <is>
          <t>EQ:GE.11</t>
        </is>
      </c>
    </row>
    <row r="154">
      <c r="A154" s="4" t="inlineStr">
        <is>
          <t>VAR-0168</t>
        </is>
      </c>
      <c r="B154" s="4" t="inlineStr">
        <is>
          <t>lam</t>
        </is>
      </c>
      <c r="C154" s="4" t="n"/>
      <c r="D154" s="4" t="n"/>
      <c r="E154" s="4" t="inlineStr">
        <is>
          <t>EQUATION-REFERENCED</t>
        </is>
      </c>
      <c r="F154" s="4" t="inlineStr">
        <is>
          <t>EQ:GE.11</t>
        </is>
      </c>
    </row>
    <row r="155">
      <c r="A155" s="4" t="inlineStr">
        <is>
          <t>VAR-0169</t>
        </is>
      </c>
      <c r="B155" s="4" t="inlineStr">
        <is>
          <t>nabla_a</t>
        </is>
      </c>
      <c r="C155" s="4" t="n"/>
      <c r="D155" s="4" t="n"/>
      <c r="E155" s="4" t="inlineStr">
        <is>
          <t>EQUATION-REFERENCED</t>
        </is>
      </c>
      <c r="F155" s="4" t="inlineStr">
        <is>
          <t>EQ:GE.12; EQ:PE.7; EQ:PE.10; EQ:PE.11; EQ:MC.15</t>
        </is>
      </c>
    </row>
    <row r="156">
      <c r="A156" s="4" t="inlineStr">
        <is>
          <t>VAR-0170</t>
        </is>
      </c>
      <c r="B156" s="4" t="inlineStr">
        <is>
          <t>bc</t>
        </is>
      </c>
      <c r="C156" s="4" t="n"/>
      <c r="D156" s="4" t="n"/>
      <c r="E156" s="4" t="inlineStr">
        <is>
          <t>EQUATION-REFERENCED</t>
        </is>
      </c>
      <c r="F156" s="4" t="inlineStr">
        <is>
          <t>EQ:GE.12; EQ:CV.2</t>
        </is>
      </c>
    </row>
    <row r="157">
      <c r="A157" s="4" t="inlineStr">
        <is>
          <t>VAR-0171</t>
        </is>
      </c>
      <c r="B157" s="4" t="inlineStr">
        <is>
          <t>Box</t>
        </is>
      </c>
      <c r="C157" s="4" t="n"/>
      <c r="D157" s="4" t="n"/>
      <c r="E157" s="4" t="inlineStr">
        <is>
          <t>EQUATION-REFERENCED</t>
        </is>
      </c>
      <c r="F157" s="4" t="inlineStr">
        <is>
          <t>EQ:GE.14</t>
        </is>
      </c>
    </row>
    <row r="158">
      <c r="A158" s="4" t="inlineStr">
        <is>
          <t>VAR-0172</t>
        </is>
      </c>
      <c r="B158" s="4" t="inlineStr">
        <is>
          <t>nabla_nu</t>
        </is>
      </c>
      <c r="C158" s="4" t="n"/>
      <c r="D158" s="4" t="n"/>
      <c r="E158" s="4" t="inlineStr">
        <is>
          <t>EQUATION-REFERENCED</t>
        </is>
      </c>
      <c r="F158" s="4" t="inlineStr">
        <is>
          <t>EQ:GE.14</t>
        </is>
      </c>
    </row>
    <row r="159">
      <c r="A159" s="4" t="inlineStr">
        <is>
          <t>VAR-0173</t>
        </is>
      </c>
      <c r="B159" s="4" t="inlineStr">
        <is>
          <t>C_Pi</t>
        </is>
      </c>
      <c r="C159" s="4" t="n"/>
      <c r="D159" s="4" t="n"/>
      <c r="E159" s="4" t="inlineStr">
        <is>
          <t>EQUATION-REFERENCED</t>
        </is>
      </c>
      <c r="F159" s="4" t="inlineStr">
        <is>
          <t>EQ:PE.1; EQ:PE.3; EQ:MC.14; EQ:MC.15</t>
        </is>
      </c>
    </row>
    <row r="160">
      <c r="A160" s="4" t="inlineStr">
        <is>
          <t>VAR-0174</t>
        </is>
      </c>
      <c r="B160" s="4" t="inlineStr">
        <is>
          <t>INT</t>
        </is>
      </c>
      <c r="C160" s="4" t="n"/>
      <c r="D160" s="4" t="n"/>
      <c r="E160" s="4" t="inlineStr">
        <is>
          <t>EQUATION-REFERENCED</t>
        </is>
      </c>
      <c r="F160" s="4" t="inlineStr">
        <is>
          <t>EQ:PE.1; EQ:PE.2; EQ:PE.6; EQ:LH.2; EQ:OD.13; EQ:MC.14</t>
        </is>
      </c>
    </row>
    <row r="161">
      <c r="A161" s="4" t="inlineStr">
        <is>
          <t>VAR-0175</t>
        </is>
      </c>
      <c r="B161" s="4" t="inlineStr">
        <is>
          <t>_a</t>
        </is>
      </c>
      <c r="C161" s="4" t="n"/>
      <c r="D161" s="4" t="n"/>
      <c r="E161" s="4" t="inlineStr">
        <is>
          <t>EQUATION-REFERENCED</t>
        </is>
      </c>
      <c r="F161" s="4" t="inlineStr">
        <is>
          <t>EQ:PE.1; EQ:PE.4; EQ:PE.7; EQ:PE.8; EQ:PE.9; EQ:PE.10; EQ:MC.14; EQ:MC.15; EQ:MC.16</t>
        </is>
      </c>
    </row>
    <row r="162">
      <c r="A162" s="4" t="inlineStr">
        <is>
          <t>VAR-0176</t>
        </is>
      </c>
      <c r="B162" s="4" t="inlineStr">
        <is>
          <t>_b</t>
        </is>
      </c>
      <c r="C162" s="4" t="n"/>
      <c r="D162" s="4" t="n"/>
      <c r="E162" s="4" t="inlineStr">
        <is>
          <t>EQUATION-REFERENCED</t>
        </is>
      </c>
      <c r="F162" s="4" t="inlineStr">
        <is>
          <t>EQ:PE.1; EQ:PE.7; EQ:PE.8; EQ:MC.14; EQ:MC.15; EQ:MC.16</t>
        </is>
      </c>
    </row>
    <row r="163">
      <c r="A163" s="4" t="inlineStr">
        <is>
          <t>VAR-0177</t>
        </is>
      </c>
      <c r="B163" s="4" t="inlineStr">
        <is>
          <t>I_F</t>
        </is>
      </c>
      <c r="C163" s="4" t="n"/>
      <c r="D163" s="4" t="n"/>
      <c r="E163" s="4" t="inlineStr">
        <is>
          <t>EQUATION-REFERENCED</t>
        </is>
      </c>
      <c r="F163" s="4" t="inlineStr">
        <is>
          <t>EQ:PE.1; EQ:PE.2; EQ:PE.7; EQ:PE.9; EQ:PE.11; EQ:MC.14; EQ:MC.15; EQ:MC.16</t>
        </is>
      </c>
    </row>
    <row r="164">
      <c r="A164" s="4" t="inlineStr">
        <is>
          <t>VAR-0178</t>
        </is>
      </c>
      <c r="B164" s="4" t="inlineStr">
        <is>
          <t>dt</t>
        </is>
      </c>
      <c r="C164" s="4" t="n"/>
      <c r="D164" s="4" t="n"/>
      <c r="E164" s="4" t="inlineStr">
        <is>
          <t>EQUATION-REFERENCED</t>
        </is>
      </c>
      <c r="F164" s="4" t="inlineStr">
        <is>
          <t>EQ:PE.1; EQ:PE.4; EQ:PE.6; EQ:PE.9; EQ:PE.10; EQ:PH.1; EQ:PH.2; EQ:PH.3; EQ:PH.4; EQ:PH.7; EQ:PH.8; EQ:QM.1; EQ:LH.2; EQ:LH.8; EQ:OD.14; EQ:OD.15; EQ:MC.14</t>
        </is>
      </c>
    </row>
    <row r="165">
      <c r="A165" s="4" t="inlineStr">
        <is>
          <t>VAR-0179</t>
        </is>
      </c>
      <c r="B165" s="4" t="inlineStr">
        <is>
          <t>grad_x</t>
        </is>
      </c>
      <c r="C165" s="4" t="n"/>
      <c r="D165" s="4" t="n"/>
      <c r="E165" s="4" t="inlineStr">
        <is>
          <t>EQUATION-REFERENCED</t>
        </is>
      </c>
      <c r="F165" s="4" t="inlineStr">
        <is>
          <t>EQ:PE.2</t>
        </is>
      </c>
    </row>
    <row r="166">
      <c r="A166" s="4" t="inlineStr">
        <is>
          <t>VAR-0180</t>
        </is>
      </c>
      <c r="B166" s="4" t="inlineStr">
        <is>
          <t>rho</t>
        </is>
      </c>
      <c r="C166" s="4" t="n"/>
      <c r="D166" s="4" t="n"/>
      <c r="E166" s="4" t="inlineStr">
        <is>
          <t>EQUATION-REFERENCED</t>
        </is>
      </c>
      <c r="F166" s="4" t="inlineStr">
        <is>
          <t>EQ:PE.2; EQ:PH.1; EQ:PH.4; EQ:PH.5; EQ:OD.12</t>
        </is>
      </c>
    </row>
    <row r="167">
      <c r="A167" s="4" t="inlineStr">
        <is>
          <t>VAR-0181</t>
        </is>
      </c>
      <c r="B167" s="4" t="inlineStr">
        <is>
          <t>dL</t>
        </is>
      </c>
      <c r="C167" s="4" t="n"/>
      <c r="D167" s="4" t="n"/>
      <c r="E167" s="4" t="inlineStr">
        <is>
          <t>EQUATION-REFERENCED</t>
        </is>
      </c>
      <c r="F167" s="4" t="inlineStr">
        <is>
          <t>EQ:PE.4</t>
        </is>
      </c>
    </row>
    <row r="168">
      <c r="A168" s="4" t="inlineStr">
        <is>
          <t>VAR-0182</t>
        </is>
      </c>
      <c r="B168" s="4" t="inlineStr">
        <is>
          <t>dy_a</t>
        </is>
      </c>
      <c r="C168" s="4" t="n"/>
      <c r="D168" s="4" t="n"/>
      <c r="E168" s="4" t="inlineStr">
        <is>
          <t>EQUATION-REFERENCED</t>
        </is>
      </c>
      <c r="F168" s="4" t="inlineStr">
        <is>
          <t>EQ:PE.4</t>
        </is>
      </c>
    </row>
    <row r="169">
      <c r="A169" s="4" t="inlineStr">
        <is>
          <t>VAR-0183</t>
        </is>
      </c>
      <c r="B169" s="4" t="inlineStr">
        <is>
          <t>_c</t>
        </is>
      </c>
      <c r="C169" s="4" t="n"/>
      <c r="D169" s="4" t="n"/>
      <c r="E169" s="4" t="inlineStr">
        <is>
          <t>EQUATION-REFERENCED</t>
        </is>
      </c>
      <c r="F169" s="4" t="inlineStr">
        <is>
          <t>EQ:PE.7; EQ:PE.8; EQ:MC.15; EQ:MC.16</t>
        </is>
      </c>
    </row>
    <row r="170">
      <c r="A170" s="4" t="inlineStr">
        <is>
          <t>VAR-0184</t>
        </is>
      </c>
      <c r="B170" s="4" t="inlineStr">
        <is>
          <t>c_</t>
        </is>
      </c>
      <c r="C170" s="4" t="n"/>
      <c r="D170" s="4" t="n"/>
      <c r="E170" s="4" t="inlineStr">
        <is>
          <t>EQUATION-REFERENCED</t>
        </is>
      </c>
      <c r="F170" s="4" t="inlineStr">
        <is>
          <t>EQ:PE.7; EQ:PE.8; EQ:CV.1; EQ:CV.3; EQ:MC.9; EQ:MC.15; EQ:MC.16</t>
        </is>
      </c>
    </row>
    <row r="171">
      <c r="A171" s="4" t="inlineStr">
        <is>
          <t>VAR-0185</t>
        </is>
      </c>
      <c r="B171" s="4" t="inlineStr">
        <is>
          <t>ca</t>
        </is>
      </c>
      <c r="C171" s="4" t="n"/>
      <c r="D171" s="4" t="n"/>
      <c r="E171" s="4" t="inlineStr">
        <is>
          <t>EQUATION-REFERENCED</t>
        </is>
      </c>
      <c r="F171" s="4" t="inlineStr">
        <is>
          <t>EQ:PE.7; EQ:MC.15</t>
        </is>
      </c>
    </row>
    <row r="172">
      <c r="A172" s="4" t="inlineStr">
        <is>
          <t>VAR-0186</t>
        </is>
      </c>
      <c r="B172" s="4" t="inlineStr">
        <is>
          <t>nabla_b</t>
        </is>
      </c>
      <c r="C172" s="4" t="n"/>
      <c r="D172" s="4" t="n"/>
      <c r="E172" s="4" t="inlineStr">
        <is>
          <t>EQUATION-REFERENCED</t>
        </is>
      </c>
      <c r="F172" s="4" t="inlineStr">
        <is>
          <t>EQ:PE.9</t>
        </is>
      </c>
    </row>
    <row r="173">
      <c r="A173" s="4" t="inlineStr">
        <is>
          <t>VAR-0187</t>
        </is>
      </c>
      <c r="B173" s="4" t="inlineStr">
        <is>
          <t>dI_F</t>
        </is>
      </c>
      <c r="C173" s="4" t="n"/>
      <c r="D173" s="4" t="n"/>
      <c r="E173" s="4" t="inlineStr">
        <is>
          <t>EQUATION-REFERENCED</t>
        </is>
      </c>
      <c r="F173" s="4" t="inlineStr">
        <is>
          <t>EQ:PE.11</t>
        </is>
      </c>
    </row>
    <row r="174">
      <c r="A174" s="4" t="inlineStr">
        <is>
          <t>VAR-0188</t>
        </is>
      </c>
      <c r="B174" s="4" t="inlineStr">
        <is>
          <t>Sigma</t>
        </is>
      </c>
      <c r="C174" s="4" t="n"/>
      <c r="D174" s="4" t="n"/>
      <c r="E174" s="4" t="inlineStr">
        <is>
          <t>EQUATION-REFERENCED</t>
        </is>
      </c>
      <c r="F174" s="4" t="inlineStr">
        <is>
          <t>EQ:PE.13; EQ:OD.3; EQ:OD.6</t>
        </is>
      </c>
    </row>
    <row r="175">
      <c r="A175" s="4" t="inlineStr">
        <is>
          <t>VAR-0189</t>
        </is>
      </c>
      <c r="B175" s="4" t="inlineStr">
        <is>
          <t>Phi</t>
        </is>
      </c>
      <c r="C175" s="4" t="n"/>
      <c r="D175" s="4" t="n"/>
      <c r="E175" s="4" t="inlineStr">
        <is>
          <t>EQUATION-REFERENCED</t>
        </is>
      </c>
      <c r="F175" s="4" t="inlineStr">
        <is>
          <t>EQ:PE.13</t>
        </is>
      </c>
    </row>
    <row r="176">
      <c r="A176" s="4" t="inlineStr">
        <is>
          <t>VAR-0190</t>
        </is>
      </c>
      <c r="B176" s="4" t="inlineStr">
        <is>
          <t>cd</t>
        </is>
      </c>
      <c r="C176" s="4" t="n"/>
      <c r="D176" s="4" t="n"/>
      <c r="E176" s="4" t="inlineStr">
        <is>
          <t>EQUATION-REFERENCED</t>
        </is>
      </c>
      <c r="F176" s="4" t="inlineStr">
        <is>
          <t>EQ:CV.1</t>
        </is>
      </c>
    </row>
    <row r="177">
      <c r="A177" s="4" t="inlineStr">
        <is>
          <t>VAR-0191</t>
        </is>
      </c>
      <c r="B177" s="4" t="inlineStr">
        <is>
          <t>bd</t>
        </is>
      </c>
      <c r="C177" s="4" t="n"/>
      <c r="D177" s="4" t="n"/>
      <c r="E177" s="4" t="inlineStr">
        <is>
          <t>EQUATION-REFERENCED</t>
        </is>
      </c>
      <c r="F177" s="4" t="inlineStr">
        <is>
          <t>EQ:CV.1; EQ:CV.2</t>
        </is>
      </c>
    </row>
    <row r="178">
      <c r="A178" s="4" t="inlineStr">
        <is>
          <t>VAR-0192</t>
        </is>
      </c>
      <c r="B178" s="4" t="inlineStr">
        <is>
          <t>ad</t>
        </is>
      </c>
      <c r="C178" s="4" t="n"/>
      <c r="D178" s="4" t="n"/>
      <c r="E178" s="4" t="inlineStr">
        <is>
          <t>EQUATION-REFERENCED</t>
        </is>
      </c>
      <c r="F178" s="4" t="inlineStr">
        <is>
          <t>EQ:CV.1</t>
        </is>
      </c>
    </row>
    <row r="179">
      <c r="A179" s="4" t="inlineStr">
        <is>
          <t>VAR-0193</t>
        </is>
      </c>
      <c r="B179" s="4" t="inlineStr">
        <is>
          <t>d_d</t>
        </is>
      </c>
      <c r="C179" s="4" t="n"/>
      <c r="D179" s="4" t="n"/>
      <c r="E179" s="4" t="inlineStr">
        <is>
          <t>EQUATION-REFERENCED</t>
        </is>
      </c>
      <c r="F179" s="4" t="inlineStr">
        <is>
          <t>EQ:CV.1; EQ:CV.2</t>
        </is>
      </c>
    </row>
    <row r="180">
      <c r="A180" s="4" t="inlineStr">
        <is>
          <t>VAR-0194</t>
        </is>
      </c>
      <c r="B180" s="4" t="inlineStr">
        <is>
          <t>a_</t>
        </is>
      </c>
      <c r="C180" s="4" t="n"/>
      <c r="D180" s="4" t="n"/>
      <c r="E180" s="4" t="inlineStr">
        <is>
          <t>EQUATION-REFERENCED</t>
        </is>
      </c>
      <c r="F180" s="4" t="inlineStr">
        <is>
          <t>EQ:CV.2; EQ:MC.10</t>
        </is>
      </c>
    </row>
    <row r="181">
      <c r="A181" s="4" t="inlineStr">
        <is>
          <t>VAR-0195</t>
        </is>
      </c>
      <c r="B181" s="4" t="inlineStr">
        <is>
          <t>bcd</t>
        </is>
      </c>
      <c r="C181" s="4" t="n"/>
      <c r="D181" s="4" t="n"/>
      <c r="E181" s="4" t="inlineStr">
        <is>
          <t>EQUATION-REFERENCED</t>
        </is>
      </c>
      <c r="F181" s="4" t="inlineStr">
        <is>
          <t>EQ:CV.2; EQ:MC.10</t>
        </is>
      </c>
    </row>
    <row r="182">
      <c r="A182" s="4" t="inlineStr">
        <is>
          <t>VAR-0196</t>
        </is>
      </c>
      <c r="B182" s="4" t="inlineStr">
        <is>
          <t>d_c</t>
        </is>
      </c>
      <c r="C182" s="4" t="n"/>
      <c r="D182" s="4" t="n"/>
      <c r="E182" s="4" t="inlineStr">
        <is>
          <t>EQUATION-REFERENCED</t>
        </is>
      </c>
      <c r="F182" s="4" t="inlineStr">
        <is>
          <t>EQ:CV.2</t>
        </is>
      </c>
    </row>
    <row r="183">
      <c r="A183" s="4" t="inlineStr">
        <is>
          <t>VAR-0197</t>
        </is>
      </c>
      <c r="B183" s="4" t="inlineStr">
        <is>
          <t>ce</t>
        </is>
      </c>
      <c r="C183" s="4" t="n"/>
      <c r="D183" s="4" t="n"/>
      <c r="E183" s="4" t="inlineStr">
        <is>
          <t>EQUATION-REFERENCED</t>
        </is>
      </c>
      <c r="F183" s="4" t="inlineStr">
        <is>
          <t>EQ:CV.2</t>
        </is>
      </c>
    </row>
    <row r="184">
      <c r="A184" s="4" t="inlineStr">
        <is>
          <t>VAR-0198</t>
        </is>
      </c>
      <c r="B184" s="4" t="inlineStr">
        <is>
          <t>e_</t>
        </is>
      </c>
      <c r="C184" s="4" t="n"/>
      <c r="D184" s="4" t="n"/>
      <c r="E184" s="4" t="inlineStr">
        <is>
          <t>EQUATION-REFERENCED</t>
        </is>
      </c>
      <c r="F184" s="4" t="inlineStr">
        <is>
          <t>EQ:CV.2</t>
        </is>
      </c>
    </row>
    <row r="185">
      <c r="A185" s="4" t="inlineStr">
        <is>
          <t>VAR-0199</t>
        </is>
      </c>
      <c r="B185" s="4" t="inlineStr">
        <is>
          <t>de</t>
        </is>
      </c>
      <c r="C185" s="4" t="n"/>
      <c r="D185" s="4" t="n"/>
      <c r="E185" s="4" t="inlineStr">
        <is>
          <t>EQUATION-REFERENCED</t>
        </is>
      </c>
      <c r="F185" s="4" t="inlineStr">
        <is>
          <t>EQ:CV.2</t>
        </is>
      </c>
    </row>
    <row r="186">
      <c r="A186" s="4" t="inlineStr">
        <is>
          <t>VAR-0200</t>
        </is>
      </c>
      <c r="B186" s="4" t="inlineStr">
        <is>
          <t>R_</t>
        </is>
      </c>
      <c r="C186" s="4" t="n"/>
      <c r="D186" s="4" t="n"/>
      <c r="E186" s="4" t="inlineStr">
        <is>
          <t>EQUATION-REFERENCED</t>
        </is>
      </c>
      <c r="F186" s="4" t="inlineStr">
        <is>
          <t>EQ:CV.3; EQ:CV.4; EQ:CV.5; EQ:CV.7; EQ:CV.8; EQ:MC.10</t>
        </is>
      </c>
    </row>
    <row r="187">
      <c r="A187" s="4" t="inlineStr">
        <is>
          <t>VAR-0201</t>
        </is>
      </c>
      <c r="B187" s="4" t="inlineStr">
        <is>
          <t>acb</t>
        </is>
      </c>
      <c r="C187" s="4" t="n"/>
      <c r="D187" s="4" t="n"/>
      <c r="E187" s="4" t="inlineStr">
        <is>
          <t>EQUATION-REFERENCED</t>
        </is>
      </c>
      <c r="F187" s="4" t="inlineStr">
        <is>
          <t>EQ:CV.3</t>
        </is>
      </c>
    </row>
    <row r="188">
      <c r="A188" s="4" t="inlineStr">
        <is>
          <t>VAR-0202</t>
        </is>
      </c>
      <c r="B188" s="4" t="inlineStr">
        <is>
          <t>G_</t>
        </is>
      </c>
      <c r="C188" s="4" t="n"/>
      <c r="D188" s="4" t="n"/>
      <c r="E188" s="4" t="inlineStr">
        <is>
          <t>EQUATION-REFERENCED</t>
        </is>
      </c>
      <c r="F188" s="4" t="inlineStr">
        <is>
          <t>EQ:CV.5; EQ:CV.6; EQ:MC.10; EQ:MC.11</t>
        </is>
      </c>
    </row>
    <row r="189">
      <c r="A189" s="4" t="inlineStr">
        <is>
          <t>VAR-0203</t>
        </is>
      </c>
      <c r="B189" s="4" t="inlineStr">
        <is>
          <t>pi</t>
        </is>
      </c>
      <c r="C189" s="4" t="n"/>
      <c r="D189" s="4" t="n"/>
      <c r="E189" s="4" t="inlineStr">
        <is>
          <t>EQUATION-REFERENCED</t>
        </is>
      </c>
      <c r="F189" s="4" t="inlineStr">
        <is>
          <t>EQ:CV.6; EQ:MC.11</t>
        </is>
      </c>
    </row>
    <row r="190">
      <c r="A190" s="4" t="inlineStr">
        <is>
          <t>VAR-0204</t>
        </is>
      </c>
      <c r="B190" s="4" t="inlineStr">
        <is>
          <t>T_</t>
        </is>
      </c>
      <c r="C190" s="4" t="n"/>
      <c r="D190" s="4" t="n"/>
      <c r="E190" s="4" t="inlineStr">
        <is>
          <t>EQUATION-REFERENCED</t>
        </is>
      </c>
      <c r="F190" s="4" t="inlineStr">
        <is>
          <t>EQ:CV.6; EQ:MC.11</t>
        </is>
      </c>
    </row>
    <row r="191">
      <c r="A191" s="4" t="inlineStr">
        <is>
          <t>VAR-0205</t>
        </is>
      </c>
      <c r="B191" s="4" t="inlineStr">
        <is>
          <t>abcd</t>
        </is>
      </c>
      <c r="C191" s="4" t="n"/>
      <c r="D191" s="4" t="n"/>
      <c r="E191" s="4" t="inlineStr">
        <is>
          <t>EQUATION-REFERENCED</t>
        </is>
      </c>
      <c r="F191" s="4" t="inlineStr">
        <is>
          <t>EQ:CV.7; EQ:CV.10</t>
        </is>
      </c>
    </row>
    <row r="192">
      <c r="A192" s="4" t="inlineStr">
        <is>
          <t>VAR-0206</t>
        </is>
      </c>
      <c r="B192" s="4" t="inlineStr">
        <is>
          <t>C_</t>
        </is>
      </c>
      <c r="C192" s="4" t="n"/>
      <c r="D192" s="4" t="n"/>
      <c r="E192" s="4" t="inlineStr">
        <is>
          <t>EQUATION-REFERENCED</t>
        </is>
      </c>
      <c r="F192" s="4" t="inlineStr">
        <is>
          <t>EQ:CV.10</t>
        </is>
      </c>
    </row>
    <row r="193">
      <c r="A193" s="4" t="inlineStr">
        <is>
          <t>VAR-0207</t>
        </is>
      </c>
      <c r="B193" s="4" t="inlineStr">
        <is>
          <t>du</t>
        </is>
      </c>
      <c r="C193" s="4" t="n"/>
      <c r="D193" s="4" t="n"/>
      <c r="E193" s="4" t="inlineStr">
        <is>
          <t>EQUATION-REFERENCED</t>
        </is>
      </c>
      <c r="F193" s="4" t="inlineStr">
        <is>
          <t>EQ:PH.4</t>
        </is>
      </c>
    </row>
    <row r="194">
      <c r="A194" s="4" t="inlineStr">
        <is>
          <t>VAR-0208</t>
        </is>
      </c>
      <c r="B194" s="4" t="inlineStr">
        <is>
          <t>u</t>
        </is>
      </c>
      <c r="C194" s="4" t="n"/>
      <c r="D194" s="4" t="n"/>
      <c r="E194" s="4" t="inlineStr">
        <is>
          <t>EQUATION-REFERENCED</t>
        </is>
      </c>
      <c r="F194" s="4" t="inlineStr">
        <is>
          <t>EQ:PH.4</t>
        </is>
      </c>
    </row>
    <row r="195">
      <c r="A195" s="4" t="inlineStr">
        <is>
          <t>VAR-0209</t>
        </is>
      </c>
      <c r="B195" s="4" t="inlineStr">
        <is>
          <t>p</t>
        </is>
      </c>
      <c r="C195" s="4" t="n"/>
      <c r="D195" s="4" t="n"/>
      <c r="E195" s="4" t="inlineStr">
        <is>
          <t>EQUATION-REFERENCED</t>
        </is>
      </c>
      <c r="F195" s="4" t="inlineStr">
        <is>
          <t>EQ:PH.4; EQ:PH.9; EQ:LH.6</t>
        </is>
      </c>
    </row>
    <row r="196">
      <c r="A196" s="4" t="inlineStr">
        <is>
          <t>VAR-0210</t>
        </is>
      </c>
      <c r="B196" s="4" t="inlineStr">
        <is>
          <t>dB</t>
        </is>
      </c>
      <c r="C196" s="4" t="n"/>
      <c r="D196" s="4" t="n"/>
      <c r="E196" s="4" t="inlineStr">
        <is>
          <t>EQUATION-REFERENCED</t>
        </is>
      </c>
      <c r="F196" s="4" t="inlineStr">
        <is>
          <t>EQ:PH.7</t>
        </is>
      </c>
    </row>
    <row r="197">
      <c r="A197" s="4" t="inlineStr">
        <is>
          <t>VAR-0211</t>
        </is>
      </c>
      <c r="B197" s="4" t="inlineStr">
        <is>
          <t>dE</t>
        </is>
      </c>
      <c r="C197" s="4" t="n"/>
      <c r="D197" s="4" t="n"/>
      <c r="E197" s="4" t="inlineStr">
        <is>
          <t>EQUATION-REFERENCED</t>
        </is>
      </c>
      <c r="F197" s="4" t="inlineStr">
        <is>
          <t>EQ:PH.8</t>
        </is>
      </c>
    </row>
    <row r="198">
      <c r="A198" s="4" t="inlineStr">
        <is>
          <t>VAR-0212</t>
        </is>
      </c>
      <c r="B198" s="4" t="inlineStr">
        <is>
          <t>H_hat</t>
        </is>
      </c>
      <c r="C198" s="4" t="n"/>
      <c r="D198" s="4" t="n"/>
      <c r="E198" s="4" t="inlineStr">
        <is>
          <t>EQUATION-REFERENCED</t>
        </is>
      </c>
      <c r="F198" s="4" t="inlineStr">
        <is>
          <t>EQ:QM.1; EQ:QM.2</t>
        </is>
      </c>
    </row>
    <row r="199">
      <c r="A199" s="4" t="inlineStr">
        <is>
          <t>VAR-0213</t>
        </is>
      </c>
      <c r="B199" s="4" t="inlineStr">
        <is>
          <t>W</t>
        </is>
      </c>
      <c r="C199" s="4" t="n"/>
      <c r="D199" s="4" t="n"/>
      <c r="E199" s="4" t="inlineStr">
        <is>
          <t>EQUATION-REFERENCED</t>
        </is>
      </c>
      <c r="F199" s="4" t="inlineStr">
        <is>
          <t>EQ:QM.3</t>
        </is>
      </c>
    </row>
    <row r="200">
      <c r="A200" s="4" t="inlineStr">
        <is>
          <t>VAR-0214</t>
        </is>
      </c>
      <c r="B200" s="4" t="inlineStr">
        <is>
          <t>dS</t>
        </is>
      </c>
      <c r="C200" s="4" t="n"/>
      <c r="D200" s="4" t="n"/>
      <c r="E200" s="4" t="inlineStr">
        <is>
          <t>EQUATION-REFERENCED</t>
        </is>
      </c>
      <c r="F200" s="4" t="inlineStr">
        <is>
          <t>EQ:QM.4; EQ:OD.13</t>
        </is>
      </c>
    </row>
    <row r="201">
      <c r="A201" s="4" t="inlineStr">
        <is>
          <t>VAR-0215</t>
        </is>
      </c>
      <c r="B201" s="4" t="inlineStr">
        <is>
          <t>Q</t>
        </is>
      </c>
      <c r="C201" s="4" t="n"/>
      <c r="D201" s="4" t="n"/>
      <c r="E201" s="4" t="inlineStr">
        <is>
          <t>EQUATION-REFERENCED</t>
        </is>
      </c>
      <c r="F201" s="4" t="inlineStr">
        <is>
          <t>EQ:QM.4</t>
        </is>
      </c>
    </row>
    <row r="202">
      <c r="A202" s="4" t="inlineStr">
        <is>
          <t>VAR-0216</t>
        </is>
      </c>
      <c r="B202" s="4" t="inlineStr">
        <is>
          <t>F</t>
        </is>
      </c>
      <c r="C202" s="4" t="n"/>
      <c r="D202" s="4" t="n"/>
      <c r="E202" s="4" t="inlineStr">
        <is>
          <t>EQUATION-REFERENCED</t>
        </is>
      </c>
      <c r="F202" s="4" t="inlineStr">
        <is>
          <t>EQ:QM.5; EQ:QM.8; EQ:MC.17</t>
        </is>
      </c>
    </row>
    <row r="203">
      <c r="A203" s="4" t="inlineStr">
        <is>
          <t>VAR-0217</t>
        </is>
      </c>
      <c r="B203" s="4" t="inlineStr">
        <is>
          <t>Z</t>
        </is>
      </c>
      <c r="C203" s="4" t="n"/>
      <c r="D203" s="4" t="n"/>
      <c r="E203" s="4" t="inlineStr">
        <is>
          <t>EQUATION-REFERENCED</t>
        </is>
      </c>
      <c r="F203" s="4" t="inlineStr">
        <is>
          <t>EQ:QM.7; EQ:QM.8; EQ:QM.10; EQ:MC.17</t>
        </is>
      </c>
    </row>
    <row r="204">
      <c r="A204" s="4" t="inlineStr">
        <is>
          <t>VAR-0218</t>
        </is>
      </c>
      <c r="B204" s="4" t="inlineStr">
        <is>
          <t>beta</t>
        </is>
      </c>
      <c r="C204" s="4" t="n"/>
      <c r="D204" s="4" t="n"/>
      <c r="E204" s="4" t="inlineStr">
        <is>
          <t>EQUATION-REFERENCED</t>
        </is>
      </c>
      <c r="F204" s="4" t="inlineStr">
        <is>
          <t>EQ:QM.7; EQ:MC.17</t>
        </is>
      </c>
    </row>
    <row r="205">
      <c r="A205" s="4" t="inlineStr">
        <is>
          <t>VAR-0219</t>
        </is>
      </c>
      <c r="B205" s="4" t="inlineStr">
        <is>
          <t>dF</t>
        </is>
      </c>
      <c r="C205" s="4" t="n"/>
      <c r="D205" s="4" t="n"/>
      <c r="E205" s="4" t="inlineStr">
        <is>
          <t>EQUATION-REFERENCED</t>
        </is>
      </c>
      <c r="F205" s="4" t="inlineStr">
        <is>
          <t>EQ:QM.9</t>
        </is>
      </c>
    </row>
    <row r="206">
      <c r="A206" s="4" t="inlineStr">
        <is>
          <t>VAR-0220</t>
        </is>
      </c>
      <c r="B206" s="4" t="inlineStr">
        <is>
          <t>dT</t>
        </is>
      </c>
      <c r="C206" s="4" t="n"/>
      <c r="D206" s="4" t="n"/>
      <c r="E206" s="4" t="inlineStr">
        <is>
          <t>EQUATION-REFERENCED</t>
        </is>
      </c>
      <c r="F206" s="4" t="inlineStr">
        <is>
          <t>EQ:QM.9</t>
        </is>
      </c>
    </row>
    <row r="207">
      <c r="A207" s="4" t="inlineStr">
        <is>
          <t>VAR-0221</t>
        </is>
      </c>
      <c r="B207" s="4" t="inlineStr">
        <is>
          <t>q_dot_i</t>
        </is>
      </c>
      <c r="C207" s="4" t="n"/>
      <c r="D207" s="4" t="n"/>
      <c r="E207" s="4" t="inlineStr">
        <is>
          <t>EQUATION-REFERENCED</t>
        </is>
      </c>
      <c r="F207" s="4" t="inlineStr">
        <is>
          <t>EQ:LH.4</t>
        </is>
      </c>
    </row>
    <row r="208">
      <c r="A208" s="4" t="inlineStr">
        <is>
          <t>VAR-0222</t>
        </is>
      </c>
      <c r="B208" s="4" t="inlineStr">
        <is>
          <t>dH</t>
        </is>
      </c>
      <c r="C208" s="4" t="n"/>
      <c r="D208" s="4" t="n"/>
      <c r="E208" s="4" t="inlineStr">
        <is>
          <t>EQUATION-REFERENCED</t>
        </is>
      </c>
      <c r="F208" s="4" t="inlineStr">
        <is>
          <t>EQ:LH.4; EQ:LH.5; EQ:LH.8</t>
        </is>
      </c>
    </row>
    <row r="209">
      <c r="A209" s="4" t="inlineStr">
        <is>
          <t>VAR-0223</t>
        </is>
      </c>
      <c r="B209" s="4" t="inlineStr">
        <is>
          <t>dp_i</t>
        </is>
      </c>
      <c r="C209" s="4" t="n"/>
      <c r="D209" s="4" t="n"/>
      <c r="E209" s="4" t="inlineStr">
        <is>
          <t>EQUATION-REFERENCED</t>
        </is>
      </c>
      <c r="F209" s="4" t="inlineStr">
        <is>
          <t>EQ:LH.4; EQ:LH.7</t>
        </is>
      </c>
    </row>
    <row r="210">
      <c r="A210" s="4" t="inlineStr">
        <is>
          <t>VAR-0224</t>
        </is>
      </c>
      <c r="B210" s="4" t="inlineStr">
        <is>
          <t>p_dot_i</t>
        </is>
      </c>
      <c r="C210" s="4" t="n"/>
      <c r="D210" s="4" t="n"/>
      <c r="E210" s="4" t="inlineStr">
        <is>
          <t>EQUATION-REFERENCED</t>
        </is>
      </c>
      <c r="F210" s="4" t="inlineStr">
        <is>
          <t>EQ:LH.5</t>
        </is>
      </c>
    </row>
    <row r="211">
      <c r="A211" s="4" t="inlineStr">
        <is>
          <t>VAR-0225</t>
        </is>
      </c>
      <c r="B211" s="4" t="inlineStr">
        <is>
          <t>dq_i</t>
        </is>
      </c>
      <c r="C211" s="4" t="n"/>
      <c r="D211" s="4" t="n"/>
      <c r="E211" s="4" t="inlineStr">
        <is>
          <t>EQUATION-REFERENCED</t>
        </is>
      </c>
      <c r="F211" s="4" t="inlineStr">
        <is>
          <t>EQ:LH.5; EQ:LH.7</t>
        </is>
      </c>
    </row>
    <row r="212">
      <c r="A212" s="4" t="inlineStr">
        <is>
          <t>VAR-0226</t>
        </is>
      </c>
      <c r="B212" s="4" t="inlineStr">
        <is>
          <t>q</t>
        </is>
      </c>
      <c r="C212" s="4" t="n"/>
      <c r="D212" s="4" t="n"/>
      <c r="E212" s="4" t="inlineStr">
        <is>
          <t>EQUATION-REFERENCED</t>
        </is>
      </c>
      <c r="F212" s="4" t="inlineStr">
        <is>
          <t>EQ:LH.6</t>
        </is>
      </c>
    </row>
    <row r="213">
      <c r="A213" s="4" t="inlineStr">
        <is>
          <t>VAR-0227</t>
        </is>
      </c>
      <c r="B213" s="4" t="inlineStr">
        <is>
          <t>df</t>
        </is>
      </c>
      <c r="C213" s="4" t="n"/>
      <c r="D213" s="4" t="n"/>
      <c r="E213" s="4" t="inlineStr">
        <is>
          <t>EQUATION-REFERENCED</t>
        </is>
      </c>
      <c r="F213" s="4" t="inlineStr">
        <is>
          <t>EQ:LH.7</t>
        </is>
      </c>
    </row>
    <row r="214">
      <c r="A214" s="4" t="inlineStr">
        <is>
          <t>VAR-0228</t>
        </is>
      </c>
      <c r="B214" s="4" t="inlineStr">
        <is>
          <t>dg</t>
        </is>
      </c>
      <c r="C214" s="4" t="n"/>
      <c r="D214" s="4" t="n"/>
      <c r="E214" s="4" t="inlineStr">
        <is>
          <t>EQUATION-REFERENCED</t>
        </is>
      </c>
      <c r="F214" s="4" t="inlineStr">
        <is>
          <t>EQ:LH.7</t>
        </is>
      </c>
    </row>
    <row r="215">
      <c r="A215" s="4" t="inlineStr">
        <is>
          <t>VAR-0229</t>
        </is>
      </c>
      <c r="B215" s="4" t="inlineStr">
        <is>
          <t>Sigma_</t>
        </is>
      </c>
      <c r="C215" s="4" t="n"/>
      <c r="D215" s="4" t="n"/>
      <c r="E215" s="4" t="inlineStr">
        <is>
          <t>EQUATION-REFERENCED</t>
        </is>
      </c>
      <c r="F215" s="4" t="inlineStr">
        <is>
          <t>EQ:OD.1</t>
        </is>
      </c>
    </row>
    <row r="216">
      <c r="A216" s="4" t="inlineStr">
        <is>
          <t>VAR-0230</t>
        </is>
      </c>
      <c r="B216" s="4" t="inlineStr">
        <is>
          <t>Sigma_n</t>
        </is>
      </c>
      <c r="C216" s="4" t="n"/>
      <c r="D216" s="4" t="n"/>
      <c r="E216" s="4" t="inlineStr">
        <is>
          <t>EQUATION-REFERENCED</t>
        </is>
      </c>
      <c r="F216" s="4" t="inlineStr">
        <is>
          <t>EQ:OD.1</t>
        </is>
      </c>
    </row>
    <row r="217">
      <c r="A217" s="4" t="inlineStr">
        <is>
          <t>VAR-0231</t>
        </is>
      </c>
      <c r="B217" s="4" t="inlineStr">
        <is>
          <t>P_</t>
        </is>
      </c>
      <c r="C217" s="4" t="n"/>
      <c r="D217" s="4" t="n"/>
      <c r="E217" s="4" t="inlineStr">
        <is>
          <t>EQUATION-REFERENCED</t>
        </is>
      </c>
      <c r="F217" s="4" t="inlineStr">
        <is>
          <t>EQ:OD.2</t>
        </is>
      </c>
    </row>
    <row r="218">
      <c r="A218" s="4" t="inlineStr">
        <is>
          <t>VAR-0232</t>
        </is>
      </c>
      <c r="B218" s="4" t="inlineStr">
        <is>
          <t>T_alpha</t>
        </is>
      </c>
      <c r="C218" s="4" t="n"/>
      <c r="D218" s="4" t="n"/>
      <c r="E218" s="4" t="inlineStr">
        <is>
          <t>EQUATION-REFERENCED</t>
        </is>
      </c>
      <c r="F218" s="4" t="inlineStr">
        <is>
          <t>EQ:OD.2</t>
        </is>
      </c>
    </row>
    <row r="219">
      <c r="A219" s="4" t="inlineStr">
        <is>
          <t>VAR-0233</t>
        </is>
      </c>
      <c r="B219" s="4" t="inlineStr">
        <is>
          <t>B_n</t>
        </is>
      </c>
      <c r="C219" s="4" t="n"/>
      <c r="D219" s="4" t="n"/>
      <c r="E219" s="4" t="inlineStr">
        <is>
          <t>EQUATION-REFERENCED</t>
        </is>
      </c>
      <c r="F219" s="4" t="inlineStr">
        <is>
          <t>EQ:OD.2</t>
        </is>
      </c>
    </row>
    <row r="220">
      <c r="A220" s="4" t="inlineStr">
        <is>
          <t>VAR-0234</t>
        </is>
      </c>
      <c r="B220" s="4" t="inlineStr">
        <is>
          <t>Sigma_0</t>
        </is>
      </c>
      <c r="C220" s="4" t="n"/>
      <c r="D220" s="4" t="n"/>
      <c r="E220" s="4" t="inlineStr">
        <is>
          <t>EQUATION-REFERENCED</t>
        </is>
      </c>
      <c r="F220" s="4" t="inlineStr">
        <is>
          <t>EQ:OD.3; EQ:MC.19</t>
        </is>
      </c>
    </row>
    <row r="221">
      <c r="A221" s="4" t="inlineStr">
        <is>
          <t>VAR-0235</t>
        </is>
      </c>
      <c r="B221" s="4" t="inlineStr">
        <is>
          <t>Psi_</t>
        </is>
      </c>
      <c r="C221" s="4" t="n"/>
      <c r="D221" s="4" t="n"/>
      <c r="E221" s="4" t="inlineStr">
        <is>
          <t>EQUATION-REFERENCED</t>
        </is>
      </c>
      <c r="F221" s="4" t="inlineStr">
        <is>
          <t>EQ:OD.4</t>
        </is>
      </c>
    </row>
    <row r="222">
      <c r="A222" s="4" t="inlineStr">
        <is>
          <t>VAR-0236</t>
        </is>
      </c>
      <c r="B222" s="4" t="inlineStr">
        <is>
          <t>Psi_t</t>
        </is>
      </c>
      <c r="C222" s="4" t="n"/>
      <c r="D222" s="4" t="n"/>
      <c r="E222" s="4" t="inlineStr">
        <is>
          <t>EQUATION-REFERENCED</t>
        </is>
      </c>
      <c r="F222" s="4" t="inlineStr">
        <is>
          <t>EQ:OD.4</t>
        </is>
      </c>
    </row>
    <row r="223">
      <c r="A223" s="4" t="inlineStr">
        <is>
          <t>VAR-0237</t>
        </is>
      </c>
      <c r="B223" s="4" t="inlineStr">
        <is>
          <t>o</t>
        </is>
      </c>
      <c r="C223" s="4" t="n"/>
      <c r="D223" s="4" t="n"/>
      <c r="E223" s="4" t="inlineStr">
        <is>
          <t>EQUATION-REFERENCED</t>
        </is>
      </c>
      <c r="F223" s="4" t="inlineStr">
        <is>
          <t>EQ:OD.5; EQ:RG.1; EQ:MC.20</t>
        </is>
      </c>
    </row>
    <row r="224">
      <c r="A224" s="4" t="inlineStr">
        <is>
          <t>VAR-0238</t>
        </is>
      </c>
      <c r="B224" s="4" t="inlineStr">
        <is>
          <t>Phi_in</t>
        </is>
      </c>
      <c r="C224" s="4" t="n"/>
      <c r="D224" s="4" t="n"/>
      <c r="E224" s="4" t="inlineStr">
        <is>
          <t>EQUATION-REFERENCED</t>
        </is>
      </c>
      <c r="F224" s="4" t="inlineStr">
        <is>
          <t>EQ:OD.7; EQ:MC.18</t>
        </is>
      </c>
    </row>
    <row r="225">
      <c r="A225" s="4" t="inlineStr">
        <is>
          <t>VAR-0239</t>
        </is>
      </c>
      <c r="B225" s="4" t="inlineStr">
        <is>
          <t>Phi_decay</t>
        </is>
      </c>
      <c r="C225" s="4" t="n"/>
      <c r="D225" s="4" t="n"/>
      <c r="E225" s="4" t="inlineStr">
        <is>
          <t>EQUATION-REFERENCED</t>
        </is>
      </c>
      <c r="F225" s="4" t="inlineStr">
        <is>
          <t>EQ:OD.7; EQ:MC.18</t>
        </is>
      </c>
    </row>
    <row r="226">
      <c r="A226" s="4" t="inlineStr">
        <is>
          <t>VAR-0240</t>
        </is>
      </c>
      <c r="B226" s="4" t="inlineStr">
        <is>
          <t>alpha_minus</t>
        </is>
      </c>
      <c r="C226" s="4" t="n"/>
      <c r="D226" s="4" t="n"/>
      <c r="E226" s="4" t="inlineStr">
        <is>
          <t>EQUATION-REFERENCED</t>
        </is>
      </c>
      <c r="F226" s="4" t="inlineStr">
        <is>
          <t>EQ:OD.8; EQ:OD.9</t>
        </is>
      </c>
    </row>
    <row r="227">
      <c r="A227" s="4" t="inlineStr">
        <is>
          <t>VAR-0241</t>
        </is>
      </c>
      <c r="B227" s="4" t="inlineStr">
        <is>
          <t>Sigma_chaos</t>
        </is>
      </c>
      <c r="C227" s="4" t="n"/>
      <c r="D227" s="4" t="n"/>
      <c r="E227" s="4" t="inlineStr">
        <is>
          <t>EQUATION-REFERENCED</t>
        </is>
      </c>
      <c r="F227" s="4" t="inlineStr">
        <is>
          <t>EQ:OD.8; EQ:MC.19</t>
        </is>
      </c>
    </row>
    <row r="228">
      <c r="A228" s="4" t="inlineStr">
        <is>
          <t>VAR-0242</t>
        </is>
      </c>
      <c r="B228" s="4" t="inlineStr">
        <is>
          <t>alpha_plus</t>
        </is>
      </c>
      <c r="C228" s="4" t="n"/>
      <c r="D228" s="4" t="n"/>
      <c r="E228" s="4" t="inlineStr">
        <is>
          <t>EQUATION-REFERENCED</t>
        </is>
      </c>
      <c r="F228" s="4" t="inlineStr">
        <is>
          <t>EQ:OD.9; EQ:OD.10</t>
        </is>
      </c>
    </row>
    <row r="229">
      <c r="A229" s="4" t="inlineStr">
        <is>
          <t>VAR-0243</t>
        </is>
      </c>
      <c r="B229" s="4" t="inlineStr">
        <is>
          <t>Sigma_persistent</t>
        </is>
      </c>
      <c r="C229" s="4" t="n"/>
      <c r="D229" s="4" t="n"/>
      <c r="E229" s="4" t="inlineStr">
        <is>
          <t>EQUATION-REFERENCED</t>
        </is>
      </c>
      <c r="F229" s="4" t="inlineStr">
        <is>
          <t>EQ:OD.9; EQ:MC.19</t>
        </is>
      </c>
    </row>
    <row r="230">
      <c r="A230" s="4" t="inlineStr">
        <is>
          <t>VAR-0244</t>
        </is>
      </c>
      <c r="B230" s="4" t="inlineStr">
        <is>
          <t>Sigma_equilibrium</t>
        </is>
      </c>
      <c r="C230" s="4" t="n"/>
      <c r="D230" s="4" t="n"/>
      <c r="E230" s="4" t="inlineStr">
        <is>
          <t>EQUATION-REFERENCED</t>
        </is>
      </c>
      <c r="F230" s="4" t="inlineStr">
        <is>
          <t>EQ:OD.10; EQ:MC.19</t>
        </is>
      </c>
    </row>
    <row r="231">
      <c r="A231" s="4" t="inlineStr">
        <is>
          <t>VAR-0245</t>
        </is>
      </c>
      <c r="B231" s="4" t="inlineStr">
        <is>
          <t>dI</t>
        </is>
      </c>
      <c r="C231" s="4" t="n"/>
      <c r="D231" s="4" t="n"/>
      <c r="E231" s="4" t="inlineStr">
        <is>
          <t>EQUATION-REFERENCED</t>
        </is>
      </c>
      <c r="F231" s="4" t="inlineStr">
        <is>
          <t>EQ:OD.11</t>
        </is>
      </c>
    </row>
    <row r="232">
      <c r="A232" s="4" t="inlineStr">
        <is>
          <t>VAR-0246</t>
        </is>
      </c>
      <c r="B232" s="4" t="inlineStr">
        <is>
          <t>d_tau</t>
        </is>
      </c>
      <c r="C232" s="4" t="n"/>
      <c r="D232" s="4" t="n"/>
      <c r="E232" s="4" t="inlineStr">
        <is>
          <t>EQUATION-REFERENCED</t>
        </is>
      </c>
      <c r="F232" s="4" t="inlineStr">
        <is>
          <t>EQ:OD.11</t>
        </is>
      </c>
    </row>
    <row r="233">
      <c r="A233" s="4" t="inlineStr">
        <is>
          <t>VAR-0247</t>
        </is>
      </c>
      <c r="B233" s="4" t="inlineStr">
        <is>
          <t>Phi_boundary</t>
        </is>
      </c>
      <c r="C233" s="4" t="n"/>
      <c r="D233" s="4" t="n"/>
      <c r="E233" s="4" t="inlineStr">
        <is>
          <t>EQUATION-REFERENCED</t>
        </is>
      </c>
      <c r="F233" s="4" t="inlineStr">
        <is>
          <t>EQ:OD.13</t>
        </is>
      </c>
    </row>
    <row r="234">
      <c r="A234" s="4" t="inlineStr">
        <is>
          <t>VAR-0248</t>
        </is>
      </c>
      <c r="B234" s="4" t="inlineStr">
        <is>
          <t>J_mu</t>
        </is>
      </c>
      <c r="C234" s="4" t="n"/>
      <c r="D234" s="4" t="n"/>
      <c r="E234" s="4" t="inlineStr">
        <is>
          <t>EQUATION-REFERENCED</t>
        </is>
      </c>
      <c r="F234" s="4" t="inlineStr">
        <is>
          <t>EQ:OD.13</t>
        </is>
      </c>
    </row>
    <row r="235">
      <c r="A235" s="4" t="inlineStr">
        <is>
          <t>VAR-0249</t>
        </is>
      </c>
      <c r="B235" s="4" t="inlineStr">
        <is>
          <t>J_Omega</t>
        </is>
      </c>
      <c r="C235" s="4" t="n"/>
      <c r="D235" s="4" t="n"/>
      <c r="E235" s="4" t="inlineStr">
        <is>
          <t>EQUATION-REFERENCED</t>
        </is>
      </c>
      <c r="F235" s="4" t="inlineStr">
        <is>
          <t>EQ:OD.14</t>
        </is>
      </c>
    </row>
    <row r="236">
      <c r="A236" s="4" t="inlineStr">
        <is>
          <t>VAR-0250</t>
        </is>
      </c>
      <c r="B236" s="4" t="inlineStr">
        <is>
          <t>Sigma_Omega</t>
        </is>
      </c>
      <c r="C236" s="4" t="n"/>
      <c r="D236" s="4" t="n"/>
      <c r="E236" s="4" t="inlineStr">
        <is>
          <t>EQUATION-REFERENCED</t>
        </is>
      </c>
      <c r="F236" s="4" t="inlineStr">
        <is>
          <t>EQ:OD.14</t>
        </is>
      </c>
    </row>
    <row r="237">
      <c r="A237" s="4" t="inlineStr">
        <is>
          <t>VAR-0251</t>
        </is>
      </c>
      <c r="B237" s="4" t="inlineStr">
        <is>
          <t>for</t>
        </is>
      </c>
      <c r="C237" s="4" t="n"/>
      <c r="D237" s="4" t="n"/>
      <c r="E237" s="4" t="inlineStr">
        <is>
          <t>EQUATION-REFERENCED</t>
        </is>
      </c>
      <c r="F237" s="4" t="inlineStr">
        <is>
          <t>EQ:RG.1; EQ:RG.3; EQ:RG.5</t>
        </is>
      </c>
    </row>
    <row r="238">
      <c r="A238" s="4" t="inlineStr">
        <is>
          <t>VAR-0252</t>
        </is>
      </c>
      <c r="B238" s="4" t="inlineStr">
        <is>
          <t>all</t>
        </is>
      </c>
      <c r="C238" s="4" t="n"/>
      <c r="D238" s="4" t="n"/>
      <c r="E238" s="4" t="inlineStr">
        <is>
          <t>EQUATION-REFERENCED</t>
        </is>
      </c>
      <c r="F238" s="4" t="inlineStr">
        <is>
          <t>EQ:RG.1; EQ:RG.3; EQ:RG.5</t>
        </is>
      </c>
    </row>
    <row r="239">
      <c r="A239" s="4" t="inlineStr">
        <is>
          <t>VAR-0253</t>
        </is>
      </c>
      <c r="B239" s="4" t="inlineStr">
        <is>
          <t>X</t>
        </is>
      </c>
      <c r="C239" s="4" t="n"/>
      <c r="D239" s="4" t="n"/>
      <c r="E239" s="4" t="inlineStr">
        <is>
          <t>EQUATION-REFERENCED</t>
        </is>
      </c>
      <c r="F239" s="4" t="inlineStr">
        <is>
          <t>EQ:RG.1</t>
        </is>
      </c>
    </row>
    <row r="240">
      <c r="A240" s="4" t="inlineStr">
        <is>
          <t>VAR-0254</t>
        </is>
      </c>
      <c r="B240" s="4" t="inlineStr">
        <is>
          <t>Y</t>
        </is>
      </c>
      <c r="C240" s="4" t="n"/>
      <c r="D240" s="4" t="n"/>
      <c r="E240" s="4" t="inlineStr">
        <is>
          <t>EQUATION-REFERENCED</t>
        </is>
      </c>
      <c r="F240" s="4" t="inlineStr">
        <is>
          <t>EQ:RG.1</t>
        </is>
      </c>
    </row>
    <row r="241">
      <c r="A241" s="4" t="inlineStr">
        <is>
          <t>VAR-0255</t>
        </is>
      </c>
      <c r="B241" s="4" t="inlineStr">
        <is>
          <t>in</t>
        </is>
      </c>
      <c r="C241" s="4" t="n"/>
      <c r="D241" s="4" t="n"/>
      <c r="E241" s="4" t="inlineStr">
        <is>
          <t>EQUATION-REFERENCED</t>
        </is>
      </c>
      <c r="F241" s="4" t="inlineStr">
        <is>
          <t>EQ:RG.1; EQ:RG.3; EQ:RG.5</t>
        </is>
      </c>
    </row>
    <row r="242">
      <c r="A242" s="4" t="inlineStr">
        <is>
          <t>VAR-0256</t>
        </is>
      </c>
      <c r="B242" s="4" t="inlineStr">
        <is>
          <t>is</t>
        </is>
      </c>
      <c r="C242" s="4" t="n"/>
      <c r="D242" s="4" t="n"/>
      <c r="E242" s="4" t="inlineStr">
        <is>
          <t>EQUATION-REFERENCED</t>
        </is>
      </c>
      <c r="F242" s="4" t="inlineStr">
        <is>
          <t>EQ:RG.2; EQ:RG.6</t>
        </is>
      </c>
    </row>
    <row r="243">
      <c r="A243" s="4" t="inlineStr">
        <is>
          <t>VAR-0257</t>
        </is>
      </c>
      <c r="B243" s="4" t="inlineStr">
        <is>
          <t>irreducible</t>
        </is>
      </c>
      <c r="C243" s="4" t="n"/>
      <c r="D243" s="4" t="n"/>
      <c r="E243" s="4" t="inlineStr">
        <is>
          <t>EQUATION-REFERENCED</t>
        </is>
      </c>
      <c r="F243" s="4" t="inlineStr">
        <is>
          <t>EQ:RG.2</t>
        </is>
      </c>
    </row>
    <row r="244">
      <c r="A244" s="4" t="inlineStr">
        <is>
          <t>VAR-0258</t>
        </is>
      </c>
      <c r="B244" s="4" t="inlineStr">
        <is>
          <t>exists</t>
        </is>
      </c>
      <c r="C244" s="4" t="n"/>
      <c r="D244" s="4" t="n"/>
      <c r="E244" s="4" t="inlineStr">
        <is>
          <t>EQUATION-REFERENCED</t>
        </is>
      </c>
      <c r="F244" s="4" t="inlineStr">
        <is>
          <t>EQ:RG.3; EQ:RG.5</t>
        </is>
      </c>
    </row>
    <row r="245">
      <c r="A245" s="4" t="inlineStr">
        <is>
          <t>VAR-0259</t>
        </is>
      </c>
      <c r="B245" s="4" t="inlineStr">
        <is>
          <t>not</t>
        </is>
      </c>
      <c r="C245" s="4" t="n"/>
      <c r="D245" s="4" t="n"/>
      <c r="E245" s="4" t="inlineStr">
        <is>
          <t>EQUATION-REFERENCED</t>
        </is>
      </c>
      <c r="F245" s="4" t="inlineStr">
        <is>
          <t>EQ:RG.4</t>
        </is>
      </c>
    </row>
    <row r="246">
      <c r="A246" s="4" t="inlineStr">
        <is>
          <t>VAR-0260</t>
        </is>
      </c>
      <c r="B246" s="4" t="inlineStr">
        <is>
          <t>unique</t>
        </is>
      </c>
      <c r="C246" s="4" t="n"/>
      <c r="D246" s="4" t="n"/>
      <c r="E246" s="4" t="inlineStr">
        <is>
          <t>EQUATION-REFERENCED</t>
        </is>
      </c>
      <c r="F246" s="4" t="inlineStr">
        <is>
          <t>EQ:RG.5</t>
        </is>
      </c>
    </row>
    <row r="247">
      <c r="A247" s="4" t="inlineStr">
        <is>
          <t>VAR-0261</t>
        </is>
      </c>
      <c r="B247" s="4" t="inlineStr">
        <is>
          <t>minimal</t>
        </is>
      </c>
      <c r="C247" s="4" t="n"/>
      <c r="D247" s="4" t="n"/>
      <c r="E247" s="4" t="inlineStr">
        <is>
          <t>EQUATION-REFERENCED</t>
        </is>
      </c>
      <c r="F247" s="4" t="inlineStr">
        <is>
          <t>EQ:RG.5</t>
        </is>
      </c>
    </row>
    <row r="248">
      <c r="A248" s="4" t="inlineStr">
        <is>
          <t>VAR-0262</t>
        </is>
      </c>
      <c r="B248" s="4" t="inlineStr">
        <is>
          <t>self</t>
        </is>
      </c>
      <c r="C248" s="4" t="n"/>
      <c r="D248" s="4" t="n"/>
      <c r="E248" s="4" t="inlineStr">
        <is>
          <t>EQUATION-REFERENCED</t>
        </is>
      </c>
      <c r="F248" s="4" t="inlineStr">
        <is>
          <t>EQ:RG.6</t>
        </is>
      </c>
    </row>
    <row r="249">
      <c r="A249" s="4" t="inlineStr">
        <is>
          <t>VAR-0263</t>
        </is>
      </c>
      <c r="B249" s="4" t="inlineStr">
        <is>
          <t>generating</t>
        </is>
      </c>
      <c r="C249" s="4" t="n"/>
      <c r="D249" s="4" t="n"/>
      <c r="E249" s="4" t="inlineStr">
        <is>
          <t>EQUATION-REFERENCED</t>
        </is>
      </c>
      <c r="F249" s="4" t="inlineStr">
        <is>
          <t>EQ:RG.6</t>
        </is>
      </c>
    </row>
    <row r="250">
      <c r="A250" s="4" t="inlineStr">
        <is>
          <t>VAR-0264</t>
        </is>
      </c>
      <c r="B250" s="4" t="inlineStr">
        <is>
          <t>K_t</t>
        </is>
      </c>
      <c r="C250" s="4" t="n"/>
      <c r="D250" s="4" t="n"/>
      <c r="E250" s="4" t="inlineStr">
        <is>
          <t>EQUATION-REFERENCED</t>
        </is>
      </c>
      <c r="F250" s="4" t="inlineStr">
        <is>
          <t>EQ:MC.5; EQ:MC.6</t>
        </is>
      </c>
    </row>
    <row r="251">
      <c r="A251" s="4" t="inlineStr">
        <is>
          <t>VAR-0265</t>
        </is>
      </c>
      <c r="B251" s="4" t="inlineStr">
        <is>
          <t>tL</t>
        </is>
      </c>
      <c r="C251" s="4" t="n"/>
      <c r="D251" s="4" t="n"/>
      <c r="E251" s="4" t="inlineStr">
        <is>
          <t>EQUATION-REFERENCED</t>
        </is>
      </c>
      <c r="F251" s="4" t="inlineStr">
        <is>
          <t>EQ:MC.5</t>
        </is>
      </c>
    </row>
    <row r="252">
      <c r="A252" s="4" t="inlineStr">
        <is>
          <t>VAR-0266</t>
        </is>
      </c>
      <c r="B252" s="4" t="inlineStr">
        <is>
          <t>sum</t>
        </is>
      </c>
      <c r="C252" s="4" t="n"/>
      <c r="D252" s="4" t="n"/>
      <c r="E252" s="4" t="inlineStr">
        <is>
          <t>EQUATION-REFERENCED</t>
        </is>
      </c>
      <c r="F252" s="4" t="inlineStr">
        <is>
          <t>EQ:MC.6</t>
        </is>
      </c>
    </row>
    <row r="253">
      <c r="A253" s="4" t="inlineStr">
        <is>
          <t>VAR-0267</t>
        </is>
      </c>
      <c r="B253" s="4" t="inlineStr">
        <is>
          <t>m</t>
        </is>
      </c>
      <c r="C253" s="4" t="n"/>
      <c r="D253" s="4" t="n"/>
      <c r="E253" s="4" t="inlineStr">
        <is>
          <t>EQUATION-REFERENCED</t>
        </is>
      </c>
      <c r="F253" s="4" t="inlineStr">
        <is>
          <t>EQ:MC.6</t>
        </is>
      </c>
    </row>
    <row r="254">
      <c r="A254" s="4" t="inlineStr">
        <is>
          <t>VAR-0268</t>
        </is>
      </c>
      <c r="B254" s="4" t="inlineStr">
        <is>
          <t>lim</t>
        </is>
      </c>
      <c r="C254" s="4" t="n"/>
      <c r="D254" s="4" t="n"/>
      <c r="E254" s="4" t="inlineStr">
        <is>
          <t>EQUATION-REFERENCED</t>
        </is>
      </c>
      <c r="F254" s="4" t="inlineStr">
        <is>
          <t>EQ:MC.19</t>
        </is>
      </c>
    </row>
  </sheetData>
  <autoFilter ref="A1:F254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35" customWidth="1" min="4" max="4"/>
    <col width="45" customWidth="1" min="5" max="5"/>
    <col width="30" customWidth="1" min="6" max="6"/>
    <col width="28" customWidth="1" min="7" max="7"/>
    <col width="22" customWidth="1" min="8" max="8"/>
    <col width="75" customWidth="1" min="9" max="9"/>
  </cols>
  <sheetData>
    <row r="1">
      <c r="A1" s="3" t="inlineStr">
        <is>
          <t>Constant_ID</t>
        </is>
      </c>
      <c r="B1" s="3" t="inlineStr">
        <is>
          <t>Symbol</t>
        </is>
      </c>
      <c r="C1" s="3" t="inlineStr">
        <is>
          <t>UCCP_Type</t>
        </is>
      </c>
      <c r="D1" s="3" t="inlineStr">
        <is>
          <t>Meaning</t>
        </is>
      </c>
      <c r="E1" s="3" t="inlineStr">
        <is>
          <t>Source Status</t>
        </is>
      </c>
      <c r="F1" s="3" t="inlineStr">
        <is>
          <t>Dependency</t>
        </is>
      </c>
      <c r="G1" s="3" t="inlineStr">
        <is>
          <t>Dimensions</t>
        </is>
      </c>
      <c r="H1" s="3" t="inlineStr">
        <is>
          <t>Value</t>
        </is>
      </c>
      <c r="I1" s="3" t="inlineStr">
        <is>
          <t>Source Notes</t>
        </is>
      </c>
    </row>
    <row r="2">
      <c r="A2" s="4" t="inlineStr">
        <is>
          <t>PHYS-007</t>
        </is>
      </c>
      <c r="B2" s="4" t="inlineStr">
        <is>
          <t>mu_0</t>
        </is>
      </c>
      <c r="C2" s="4" t="inlineStr">
        <is>
          <t>T</t>
        </is>
      </c>
      <c r="D2" s="4" t="inlineStr">
        <is>
          <t>Vacuum permeability</t>
        </is>
      </c>
      <c r="E2" s="4" t="inlineStr">
        <is>
          <t>CANDIDATE Derivation / Notes: Sets the magnetic scale of free space. Related to eps_0 and c by mu_0 = 1/(eps_0 c^2). AUDIT: With fixed c (via SI definition), mu_0 may be derived from eps_0 and c rather than being independent. UCA node: (T, 0, OPEN-AUDIT, [M L T^{-2} A^{-2}], 1.257e-6 H/m, U(1)_EM)</t>
        </is>
      </c>
      <c r="F2" s="4" t="inlineStr">
        <is>
          <t>None Status: CANDIDATE Derivation / Notes: Sets the magnetic scale of free space. Related to eps_0 and c by mu_0 = 1/(eps_0 c^2). AUDIT: With fixed c (via SI definition), mu_0 may be derived from eps_0 and c rather than being independent. UCA node: (T, 0, OPEN-AUDIT, [M L T^{-2} A^{-2}], 1.257e-6 H/m, U(1)_EM)</t>
        </is>
      </c>
      <c r="G2" s="4" t="inlineStr">
        <is>
          <t>M L T^{-2} A^{-2}</t>
        </is>
      </c>
      <c r="H2" s="4" t="inlineStr">
        <is>
          <t>1.257e-6 H/m</t>
        </is>
      </c>
      <c r="I2" s="4" t="inlineStr">
        <is>
          <t>Meaning: Vacuum permeability Primitive: Yes — Root | Dependency: None Status: CANDIDATE Derivation / Notes: Sets the magnetic scale of free space. Related to eps_0 and c by mu_0 = 1/(eps_0 c^2). AUDIT: With fixed c (via SI definition), mu_0 may be derived from eps_0 and c rather than being independent. UCA node: (T, 0, OPEN-AUDIT, [M L T^{-2} A^{-2}], 1.257e-6 H/m, U(1)_EM)</t>
        </is>
      </c>
    </row>
    <row r="3">
      <c r="A3" s="4" t="inlineStr">
        <is>
          <t>PHYS-001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4" t="inlineStr">
        <is>
          <t>PHYS-002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4" t="inlineStr">
        <is>
          <t>PHYS-003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PHYS-004</t>
        </is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inlineStr">
        <is>
          <t>PHYS-005</t>
        </is>
      </c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inlineStr">
        <is>
          <t>PHYS-008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inlineStr">
        <is>
          <t>PHYS-009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inlineStr">
        <is>
          <t>PHYS-010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inlineStr">
        <is>
          <t>PHYS-N_sub</t>
        </is>
      </c>
      <c r="B11" s="4" t="inlineStr">
        <is>
          <t>N_sub (spectral trace</t>
        </is>
      </c>
      <c r="C11" s="4" t="n"/>
      <c r="D11" s="4" t="n"/>
      <c r="E11" s="4" t="n"/>
      <c r="F11" s="4" t="n"/>
      <c r="G11" s="4" t="n"/>
      <c r="H11" s="4" t="n"/>
      <c r="I11" s="4" t="n"/>
    </row>
    <row r="12">
      <c r="A12" s="4" t="inlineStr">
        <is>
          <t>PHYS-m_{aP}</t>
        </is>
      </c>
      <c r="B12" s="4" t="inlineStr">
        <is>
          <t>m_{aP} (Persistence</t>
        </is>
      </c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PHYS-m_p/m_e</t>
        </is>
      </c>
      <c r="B13" s="4" t="inlineStr">
        <is>
          <t>m_p/m_e (mass</t>
        </is>
      </c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PHYS-007</t>
        </is>
      </c>
      <c r="B14" s="4" t="n"/>
      <c r="C14" s="4" t="n"/>
      <c r="D14" s="4" t="n"/>
      <c r="E14" s="4" t="n"/>
      <c r="F14" s="4" t="n"/>
      <c r="G14" s="4" t="n"/>
      <c r="H14" s="4" t="n"/>
      <c r="I14" s="4" t="inlineStr">
        <is>
          <t>mu_0</t>
        </is>
      </c>
    </row>
    <row r="15">
      <c r="A15" s="4" t="inlineStr">
        <is>
          <t>PHYS-011</t>
        </is>
      </c>
      <c r="B15" s="4" t="n"/>
      <c r="C15" s="4" t="n"/>
      <c r="D15" s="4" t="n"/>
      <c r="E15" s="4" t="n"/>
      <c r="F15" s="4" t="n"/>
      <c r="G15" s="4" t="n"/>
      <c r="H15" s="4" t="n"/>
      <c r="I15" s="4" t="inlineStr">
        <is>
          <t>v_H</t>
        </is>
      </c>
    </row>
    <row r="16">
      <c r="A16" s="4" t="inlineStr">
        <is>
          <t>PHYS-012</t>
        </is>
      </c>
      <c r="B16" s="4" t="n"/>
      <c r="C16" s="4" t="n"/>
      <c r="D16" s="4" t="n"/>
      <c r="E16" s="4" t="n"/>
      <c r="F16" s="4" t="n"/>
      <c r="G16" s="4" t="n"/>
      <c r="H16" s="4" t="n"/>
      <c r="I16" s="4" t="inlineStr">
        <is>
          <t>m_e</t>
        </is>
      </c>
    </row>
    <row r="17">
      <c r="A17" s="4" t="inlineStr">
        <is>
          <t>PHYS-015</t>
        </is>
      </c>
      <c r="B17" s="4" t="n"/>
      <c r="C17" s="4" t="n"/>
      <c r="D17" s="4" t="n"/>
      <c r="E17" s="4" t="n"/>
      <c r="F17" s="4" t="n"/>
      <c r="G17" s="4" t="n"/>
      <c r="H17" s="4" t="n"/>
      <c r="I17" s="4" t="inlineStr">
        <is>
          <t>g_W</t>
        </is>
      </c>
    </row>
    <row r="18">
      <c r="A18" s="4" t="inlineStr">
        <is>
          <t>PHYS-013</t>
        </is>
      </c>
      <c r="B18" s="4" t="n"/>
      <c r="C18" s="4" t="n"/>
      <c r="D18" s="4" t="n"/>
      <c r="E18" s="4" t="n"/>
      <c r="F18" s="4" t="n"/>
      <c r="G18" s="4" t="n"/>
      <c r="H18" s="4" t="n"/>
      <c r="I18" s="4" t="inlineStr">
        <is>
          <t>m_p/m_e</t>
        </is>
      </c>
    </row>
  </sheetData>
  <autoFilter ref="A1:I18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5" customWidth="1" min="3" max="3"/>
    <col width="22" customWidth="1" min="4" max="4"/>
    <col width="45" customWidth="1" min="5" max="5"/>
    <col width="45" customWidth="1" min="6" max="6"/>
    <col width="75" customWidth="1" min="7" max="7"/>
    <col width="45" customWidth="1" min="8" max="8"/>
  </cols>
  <sheetData>
    <row r="1">
      <c r="A1" s="3" t="inlineStr">
        <is>
          <t>Source_Table</t>
        </is>
      </c>
      <c r="B1" s="3" t="inlineStr">
        <is>
          <t>ID</t>
        </is>
      </c>
      <c r="C1" s="3" t="inlineStr">
        <is>
          <t>Symbol</t>
        </is>
      </c>
      <c r="D1" s="3" t="inlineStr">
        <is>
          <t>Meaning</t>
        </is>
      </c>
      <c r="E1" s="3" t="inlineStr">
        <is>
          <t>Units</t>
        </is>
      </c>
      <c r="F1" s="3" t="inlineStr">
        <is>
          <t>Governing Constants</t>
        </is>
      </c>
      <c r="G1" s="3" t="inlineStr">
        <is>
          <t>Formula / Connection</t>
        </is>
      </c>
      <c r="H1" s="3" t="inlineStr">
        <is>
          <t>Invariance / Notes</t>
        </is>
      </c>
    </row>
    <row r="2">
      <c r="A2" s="4" t="n">
        <v>5</v>
      </c>
      <c r="B2" s="4" t="inlineStr">
        <is>
          <t>MAS-001</t>
        </is>
      </c>
      <c r="C2" s="4" t="inlineStr">
        <is>
          <t>m</t>
        </is>
      </c>
      <c r="D2" s="4" t="inlineStr">
        <is>
          <t>Generic mass</t>
        </is>
      </c>
      <c r="E2" s="4" t="inlineStr">
        <is>
          <t>kg</t>
        </is>
      </c>
      <c r="F2" s="4" t="inlineStr">
        <is>
          <t>c, G, hbar</t>
        </is>
      </c>
      <c r="G2" s="4" t="inlineStr">
        <is>
          <t>m = E/c^2; m = p_mu p^mu / c^2</t>
        </is>
      </c>
      <c r="H2" s="4" t="inlineStr">
        <is>
          <t>Lorentz group</t>
        </is>
      </c>
    </row>
    <row r="3">
      <c r="A3" s="4" t="n">
        <v>5</v>
      </c>
      <c r="B3" s="4" t="inlineStr">
        <is>
          <t>MAS-002</t>
        </is>
      </c>
      <c r="C3" s="4" t="inlineStr">
        <is>
          <t>m_e</t>
        </is>
      </c>
      <c r="D3" s="4" t="inlineStr">
        <is>
          <t>Electron mass</t>
        </is>
      </c>
      <c r="E3" s="4" t="inlineStr">
        <is>
          <t>kg</t>
        </is>
      </c>
      <c r="F3" s="4" t="inlineStr">
        <is>
          <t>hbar, c, G (via Planck), v_H, y_e</t>
        </is>
      </c>
      <c r="G3" s="4" t="inlineStr">
        <is>
          <t>m_e = y_e v_H / sqrt(2) OR m_e = m_0 sqrt(lambda_e)</t>
        </is>
      </c>
      <c r="H3" s="4" t="inlineStr">
        <is>
          <t>Lorentz group</t>
        </is>
      </c>
    </row>
    <row r="4">
      <c r="A4" s="4" t="n">
        <v>5</v>
      </c>
      <c r="B4" s="4" t="inlineStr">
        <is>
          <t>MAS-003</t>
        </is>
      </c>
      <c r="C4" s="4" t="inlineStr">
        <is>
          <t>m_p</t>
        </is>
      </c>
      <c r="D4" s="4" t="inlineStr">
        <is>
          <t>Proton mass</t>
        </is>
      </c>
      <c r="E4" s="4" t="inlineStr">
        <is>
          <t>kg</t>
        </is>
      </c>
      <c r="F4" s="4" t="inlineStr">
        <is>
          <t>hbar, c, Lambda_QCD</t>
        </is>
      </c>
      <c r="G4" s="4" t="inlineStr">
        <is>
          <t>m_p ~ Lambda_QCD / c^2 (QCD confinement)</t>
        </is>
      </c>
      <c r="H4" s="4" t="inlineStr">
        <is>
          <t>Lorentz group, SU(3)_color</t>
        </is>
      </c>
    </row>
    <row r="5">
      <c r="A5" s="4" t="n">
        <v>5</v>
      </c>
      <c r="B5" s="4" t="inlineStr">
        <is>
          <t>MAS-004</t>
        </is>
      </c>
      <c r="C5" s="4" t="inlineStr">
        <is>
          <t>M</t>
        </is>
      </c>
      <c r="D5" s="4" t="inlineStr">
        <is>
          <t>General body mass</t>
        </is>
      </c>
      <c r="E5" s="4" t="inlineStr">
        <is>
          <t>kg</t>
        </is>
      </c>
      <c r="F5" s="4" t="inlineStr">
        <is>
          <t>G</t>
        </is>
      </c>
      <c r="G5" s="4" t="inlineStr">
        <is>
          <t>F = GMm/r^2 (Newtonian); T_{00} (relativistic)</t>
        </is>
      </c>
      <c r="H5" s="4" t="inlineStr">
        <is>
          <t>Diffeomorphism group</t>
        </is>
      </c>
    </row>
    <row r="6">
      <c r="A6" s="4" t="n">
        <v>5</v>
      </c>
      <c r="B6" s="4" t="inlineStr">
        <is>
          <t>MAS-005</t>
        </is>
      </c>
      <c r="C6" s="4" t="inlineStr">
        <is>
          <t>m_P</t>
        </is>
      </c>
      <c r="D6" s="4" t="inlineStr">
        <is>
          <t>Planck mass</t>
        </is>
      </c>
      <c r="E6" s="4" t="inlineStr">
        <is>
          <t>kg</t>
        </is>
      </c>
      <c r="F6" s="4" t="inlineStr">
        <is>
          <t>G, hbar, c</t>
        </is>
      </c>
      <c r="G6" s="4" t="inlineStr">
        <is>
          <t>m_P = sqrt(hbar c / G)</t>
        </is>
      </c>
      <c r="H6" s="4" t="inlineStr">
        <is>
          <t>Diffeomorphism group</t>
        </is>
      </c>
    </row>
    <row r="7">
      <c r="A7" s="4" t="n">
        <v>5</v>
      </c>
      <c r="B7" s="4" t="inlineStr">
        <is>
          <t>MAS-006</t>
        </is>
      </c>
      <c r="C7" s="4" t="inlineStr">
        <is>
          <t>m_{aP}</t>
        </is>
      </c>
      <c r="D7" s="4" t="inlineStr">
        <is>
          <t>Persistence Axion mass</t>
        </is>
      </c>
      <c r="E7" s="4" t="inlineStr">
        <is>
          <t>eV/c^2</t>
        </is>
      </c>
      <c r="F7" s="4" t="inlineStr">
        <is>
          <t>N_sub, Lambda_QCD, M_Pl</t>
        </is>
      </c>
      <c r="G7" s="4" t="inlineStr">
        <is>
          <t>m_{aP} = Lambda^2_QCD / (N_sub * M_Pl)</t>
        </is>
      </c>
      <c r="H7" s="4" t="inlineStr">
        <is>
          <t>U(1)_axion</t>
        </is>
      </c>
    </row>
    <row r="8">
      <c r="A8" s="4" t="n">
        <v>7</v>
      </c>
      <c r="B8" s="4" t="inlineStr">
        <is>
          <t>EN-001</t>
        </is>
      </c>
      <c r="C8" s="4" t="inlineStr">
        <is>
          <t>E_rest</t>
        </is>
      </c>
      <c r="D8" s="4" t="inlineStr">
        <is>
          <t>Rest energy: E = mc^2</t>
        </is>
      </c>
      <c r="E8" s="4" t="inlineStr">
        <is>
          <t>J</t>
        </is>
      </c>
      <c r="F8" s="4" t="inlineStr">
        <is>
          <t>c, m</t>
        </is>
      </c>
      <c r="G8" s="4" t="inlineStr">
        <is>
          <t>Appears in DER-GEO-001 (spectral metric); m_n = m_0 sqrt(lambda_n) gives E_n = m_n c^2</t>
        </is>
      </c>
      <c r="H8" s="4" t="n"/>
    </row>
    <row r="9">
      <c r="A9" s="4" t="n">
        <v>7</v>
      </c>
      <c r="B9" s="4" t="inlineStr">
        <is>
          <t>EN-002</t>
        </is>
      </c>
      <c r="C9" s="4" t="inlineStr">
        <is>
          <t>E_kin</t>
        </is>
      </c>
      <c r="D9" s="4" t="inlineStr">
        <is>
          <t>Kinetic energy: T = p^2/2m (NR)</t>
        </is>
      </c>
      <c r="E9" s="4" t="inlineStr">
        <is>
          <t>J</t>
        </is>
      </c>
      <c r="F9" s="4" t="inlineStr">
        <is>
          <t>m</t>
        </is>
      </c>
      <c r="G9" s="4" t="inlineStr">
        <is>
          <t>Appears in DER-VAR-003 (Legendre transform); Hamiltonian kinetic sector</t>
        </is>
      </c>
      <c r="H9" s="4" t="n"/>
    </row>
    <row r="10">
      <c r="A10" s="4" t="n">
        <v>7</v>
      </c>
      <c r="B10" s="4" t="inlineStr">
        <is>
          <t>EN-003</t>
        </is>
      </c>
      <c r="C10" s="4" t="inlineStr">
        <is>
          <t>E_pot</t>
        </is>
      </c>
      <c r="D10" s="4" t="inlineStr">
        <is>
          <t>Potential energy: V = -GMm/r</t>
        </is>
      </c>
      <c r="E10" s="4" t="inlineStr">
        <is>
          <t>J</t>
        </is>
      </c>
      <c r="F10" s="4" t="inlineStr">
        <is>
          <t>G, M, m</t>
        </is>
      </c>
      <c r="G10" s="4" t="inlineStr">
        <is>
          <t>Appears in DER-VAR-001 (Persistence Cost Functional); potential sector</t>
        </is>
      </c>
      <c r="H10" s="4" t="n"/>
    </row>
    <row r="11">
      <c r="A11" s="4" t="n">
        <v>7</v>
      </c>
      <c r="B11" s="4" t="inlineStr">
        <is>
          <t>EN-004</t>
        </is>
      </c>
      <c r="C11" s="4" t="inlineStr">
        <is>
          <t>E_therm</t>
        </is>
      </c>
      <c r="D11" s="4" t="inlineStr">
        <is>
          <t>Thermal energy: E = k_B T</t>
        </is>
      </c>
      <c r="E11" s="4" t="inlineStr">
        <is>
          <t>J</t>
        </is>
      </c>
      <c r="F11" s="4" t="inlineStr">
        <is>
          <t>k_B</t>
        </is>
      </c>
      <c r="G11" s="4" t="inlineStr">
        <is>
          <t>Appears in DER-TRC-002 (entropy); k_B T sets the thermal fluctuation scale</t>
        </is>
      </c>
      <c r="H11" s="4" t="n"/>
    </row>
    <row r="12">
      <c r="A12" s="4" t="n">
        <v>7</v>
      </c>
      <c r="B12" s="4" t="inlineStr">
        <is>
          <t>EN-005</t>
        </is>
      </c>
      <c r="C12" s="4" t="inlineStr">
        <is>
          <t>E_vac</t>
        </is>
      </c>
      <c r="D12" s="4" t="inlineStr">
        <is>
          <t>Vacuum energy density: rho_Lambda = Lambda c^4 / 8piG</t>
        </is>
      </c>
      <c r="E12" s="4" t="inlineStr">
        <is>
          <t>J/m^3</t>
        </is>
      </c>
      <c r="F12" s="4" t="inlineStr">
        <is>
          <t>Lambda, c, G</t>
        </is>
      </c>
      <c r="G12" s="4" t="inlineStr">
        <is>
          <t>DER-TRC-006 (OPEN): Pi_O must accommodate positive Lambda</t>
        </is>
      </c>
      <c r="H12" s="4" t="n"/>
    </row>
    <row r="13">
      <c r="A13" s="4" t="n">
        <v>7</v>
      </c>
      <c r="B13" s="4" t="inlineStr">
        <is>
          <t>EN-006</t>
        </is>
      </c>
      <c r="C13" s="4" t="inlineStr">
        <is>
          <t>E_org</t>
        </is>
      </c>
      <c r="D13" s="4" t="inlineStr">
        <is>
          <t>Organizational energy: cost of one DTC cycle</t>
        </is>
      </c>
      <c r="E13" s="4" t="inlineStr">
        <is>
          <t>Compiler</t>
        </is>
      </c>
      <c r="F13" s="4" t="inlineStr">
        <is>
          <t>Gamma, Pi</t>
        </is>
      </c>
      <c r="G13" s="4" t="inlineStr">
        <is>
          <t>C_Pi[y] = INT(g_{ab} y'_a y'_b + 2 I_F)dt — the persistence cost functional VAR-001</t>
        </is>
      </c>
      <c r="H13" s="4" t="n"/>
    </row>
    <row r="14">
      <c r="A14" s="4" t="n">
        <v>9</v>
      </c>
      <c r="B14" s="4" t="inlineStr">
        <is>
          <t>RT-001</t>
        </is>
      </c>
      <c r="C14" s="4" t="inlineStr">
        <is>
          <t>Gamma_decay</t>
        </is>
      </c>
      <c r="D14" s="4" t="inlineStr">
        <is>
          <t>Decay rate of an unstable state</t>
        </is>
      </c>
      <c r="E14" s="4" t="inlineStr">
        <is>
          <t>s^{-1}</t>
        </is>
      </c>
      <c r="F14" s="4" t="inlineStr">
        <is>
          <t>Gamma = 1/tau (mean lifetime)</t>
        </is>
      </c>
      <c r="G14" s="4" t="inlineStr">
        <is>
          <t>DER-QR-003 (Heisenberg); Gamma = Im(E)/hbar in QM</t>
        </is>
      </c>
      <c r="H14" s="4" t="n"/>
    </row>
    <row r="15">
      <c r="A15" s="4" t="n">
        <v>9</v>
      </c>
      <c r="B15" s="4" t="inlineStr">
        <is>
          <t>RT-002</t>
        </is>
      </c>
      <c r="C15" s="4" t="inlineStr">
        <is>
          <t>gamma_org</t>
        </is>
      </c>
      <c r="D15" s="4" t="inlineStr">
        <is>
          <t>Organizational growth parameter</t>
        </is>
      </c>
      <c r="E15" s="4" t="inlineStr">
        <is>
          <t>s^{-1}</t>
        </is>
      </c>
      <c r="F15" s="4" t="inlineStr">
        <is>
          <t>gamma = dPi_O/dt in NEDS regime</t>
        </is>
      </c>
      <c r="G15" s="4" t="inlineStr">
        <is>
          <t>COMP-006 audit item; requires DER-ORG-007 (Pi_O derivation)</t>
        </is>
      </c>
      <c r="H15" s="4" t="n"/>
    </row>
    <row r="16">
      <c r="A16" s="4" t="n">
        <v>9</v>
      </c>
      <c r="B16" s="4" t="inlineStr">
        <is>
          <t>RT-003</t>
        </is>
      </c>
      <c r="C16" s="4" t="inlineStr">
        <is>
          <t>H</t>
        </is>
      </c>
      <c r="D16" s="4" t="inlineStr">
        <is>
          <t>Hubble expansion rate</t>
        </is>
      </c>
      <c r="E16" s="4" t="inlineStr">
        <is>
          <t>s^{-1}</t>
        </is>
      </c>
      <c r="F16" s="4" t="inlineStr">
        <is>
          <t>H = a_dot / a (scale factor rate)</t>
        </is>
      </c>
      <c r="G16" s="4" t="inlineStr">
        <is>
          <t>Adjacent to DER-TRC-006; H^2 = 8piG rho/3 + Lambda/3</t>
        </is>
      </c>
      <c r="H16" s="4" t="n"/>
    </row>
    <row r="17">
      <c r="A17" s="4" t="n">
        <v>9</v>
      </c>
      <c r="B17" s="4" t="inlineStr">
        <is>
          <t>RT-004</t>
        </is>
      </c>
      <c r="C17" s="4" t="inlineStr">
        <is>
          <t>k_rxn</t>
        </is>
      </c>
      <c r="D17" s="4" t="inlineStr">
        <is>
          <t>Chemical reaction rate</t>
        </is>
      </c>
      <c r="E17" s="4" t="inlineStr">
        <is>
          <t>mol/(L*s)</t>
        </is>
      </c>
      <c r="F17" s="4" t="inlineStr">
        <is>
          <t>k = A exp(-E_a / k_B T) (Arrhenius)</t>
        </is>
      </c>
      <c r="G17" s="4" t="inlineStr">
        <is>
          <t>NEDS rate quantifying organizational throughput sigma in TRC branch</t>
        </is>
      </c>
      <c r="H17" s="4" t="n"/>
    </row>
    <row r="18">
      <c r="A18" s="4" t="n">
        <v>9</v>
      </c>
      <c r="B18" s="4" t="inlineStr">
        <is>
          <t>RT-005</t>
        </is>
      </c>
      <c r="C18" s="4" t="inlineStr">
        <is>
          <t>dI/dt</t>
        </is>
      </c>
      <c r="D18" s="4" t="inlineStr">
        <is>
          <t>Information generation rate</t>
        </is>
      </c>
      <c r="E18" s="4" t="inlineStr">
        <is>
          <t>bits/s</t>
        </is>
      </c>
      <c r="F18" s="4" t="inlineStr">
        <is>
          <t>dI/dt = d/dt(-sum p_i ln p_i)</t>
        </is>
      </c>
      <c r="G18" s="4" t="inlineStr">
        <is>
          <t>DER-TRC-002 (entropy); characterizes NEDS vs TEDS regime boundary</t>
        </is>
      </c>
      <c r="H18" s="4" t="n"/>
    </row>
    <row r="19">
      <c r="A19" s="4" t="n">
        <v>9</v>
      </c>
      <c r="B19" s="4" t="inlineStr">
        <is>
          <t>RT-006</t>
        </is>
      </c>
      <c r="C19" s="4" t="inlineStr">
        <is>
          <t>dPi_O/dt</t>
        </is>
      </c>
      <c r="D19" s="4" t="inlineStr">
        <is>
          <t>Organizational persistence rate</t>
        </is>
      </c>
      <c r="E19" s="4" t="inlineStr">
        <is>
          <t>s^{-1}</t>
        </is>
      </c>
      <c r="F19" s="4" t="inlineStr">
        <is>
          <t>dPi_O/dt = g(sigma, dC/dt, dSpec/dt)</t>
        </is>
      </c>
      <c r="G19" s="4" t="inlineStr">
        <is>
          <t>DER-ORG-007 (OPEN); the key rate distinguishing organizational evolution stages</t>
        </is>
      </c>
      <c r="H19" s="4" t="n"/>
    </row>
    <row r="20">
      <c r="A20" s="4" t="n">
        <v>9</v>
      </c>
      <c r="B20" s="4" t="inlineStr">
        <is>
          <t>RT-007</t>
        </is>
      </c>
      <c r="C20" s="4" t="inlineStr">
        <is>
          <t>sigma_dot</t>
        </is>
      </c>
      <c r="D20" s="4" t="inlineStr">
        <is>
          <t>Entropy production rate</t>
        </is>
      </c>
      <c r="E20" s="4" t="inlineStr">
        <is>
          <t>J/(K*s)</t>
        </is>
      </c>
      <c r="F20" s="4" t="inlineStr">
        <is>
          <t>sigma = sum_i J_i X_i &gt;= 0</t>
        </is>
      </c>
      <c r="G20" s="4" t="inlineStr">
        <is>
          <t>DER-TRC-004 (Clausius-Duhem); the TNDS driving rate</t>
        </is>
      </c>
      <c r="H20" s="4" t="n"/>
    </row>
    <row r="21">
      <c r="A21" s="4" t="n">
        <v>9</v>
      </c>
      <c r="B21" s="4" t="inlineStr">
        <is>
          <t>RT-008</t>
        </is>
      </c>
      <c r="C21" s="4" t="inlineStr">
        <is>
          <t>Phi_in</t>
        </is>
      </c>
      <c r="D21" s="4" t="inlineStr">
        <is>
          <t>Free energy influx rate</t>
        </is>
      </c>
      <c r="E21" s="4" t="inlineStr">
        <is>
          <t>W</t>
        </is>
      </c>
      <c r="F21" s="4" t="inlineStr">
        <is>
          <t>Phi_in = alpha * Phi_decay</t>
        </is>
      </c>
      <c r="G21" s="4" t="inlineStr">
        <is>
          <t>Control parameter numerator; alpha = Phi_in / Phi_decay defines regime</t>
        </is>
      </c>
      <c r="H21" s="4" t="n"/>
    </row>
    <row r="22">
      <c r="A22" s="4" t="n">
        <v>11</v>
      </c>
      <c r="B22" s="4" t="inlineStr">
        <is>
          <t>ORG-001</t>
        </is>
      </c>
      <c r="C22" s="4" t="inlineStr">
        <is>
          <t>Pi_O</t>
        </is>
      </c>
      <c r="D22" s="4" t="inlineStr">
        <is>
          <t>Organizational Persistence Functional</t>
        </is>
      </c>
      <c r="E22" s="4" t="inlineStr">
        <is>
          <t>Pi_O = f(sigma, C, Spec(L)) in [0,1]</t>
        </is>
      </c>
      <c r="F22" s="4" t="inlineStr">
        <is>
          <t>DER-ORG-007, DER-TRC-006</t>
        </is>
      </c>
      <c r="G22" s="4" t="inlineStr">
        <is>
          <t>OPEN — coupling equation proposed</t>
        </is>
      </c>
      <c r="H22" s="4" t="n"/>
    </row>
    <row r="23">
      <c r="A23" s="4" t="n">
        <v>11</v>
      </c>
      <c r="B23" s="4" t="inlineStr">
        <is>
          <t>ORG-002</t>
        </is>
      </c>
      <c r="C23" s="4" t="inlineStr">
        <is>
          <t>alpha</t>
        </is>
      </c>
      <c r="D23" s="4" t="inlineStr">
        <is>
          <t>Organizational control parameter</t>
        </is>
      </c>
      <c r="E23" s="4" t="inlineStr">
        <is>
          <t>alpha = Phi_in / Phi_decay</t>
        </is>
      </c>
      <c r="F23" s="4" t="inlineStr">
        <is>
          <t>UCG Sec 12 (bifurcation)</t>
        </is>
      </c>
      <c r="G23" s="4" t="inlineStr">
        <is>
          <t>CERTIFIED (bifurcation theorem)</t>
        </is>
      </c>
      <c r="H23" s="4" t="n"/>
    </row>
    <row r="24">
      <c r="A24" s="4" t="n">
        <v>11</v>
      </c>
      <c r="B24" s="4" t="inlineStr">
        <is>
          <t>ORG-003</t>
        </is>
      </c>
      <c r="C24" s="4" t="inlineStr">
        <is>
          <t>Omega</t>
        </is>
      </c>
      <c r="D24" s="4" t="inlineStr">
        <is>
          <t>Master attractor state</t>
        </is>
      </c>
      <c r="E24" s="4" t="inlineStr">
        <is>
          <t>Omega = lim_{n-&gt;inf} R^n U</t>
        </is>
      </c>
      <c r="F24" s="4" t="inlineStr">
        <is>
          <t>DER-SPC-005</t>
        </is>
      </c>
      <c r="G24" s="4" t="inlineStr">
        <is>
          <t>CERTIFIED (Banach FPT)</t>
        </is>
      </c>
      <c r="H24" s="4" t="n"/>
    </row>
    <row r="25">
      <c r="A25" s="4" t="n">
        <v>11</v>
      </c>
      <c r="B25" s="4" t="inlineStr">
        <is>
          <t>ORG-004</t>
        </is>
      </c>
      <c r="C25" s="4" t="inlineStr">
        <is>
          <t>Spec(L)</t>
        </is>
      </c>
      <c r="D25" s="4" t="inlineStr">
        <is>
          <t>Spectral invariant of distinction network</t>
        </is>
      </c>
      <c r="E25" s="4" t="inlineStr">
        <is>
          <t>Spec(L) = {lambda_n, phi_n}</t>
        </is>
      </c>
      <c r="F25" s="4" t="inlineStr">
        <is>
          <t>DER-SPC-003</t>
        </is>
      </c>
      <c r="G25" s="4" t="inlineStr">
        <is>
          <t>CERTIFIED</t>
        </is>
      </c>
      <c r="H25" s="4" t="n"/>
    </row>
    <row r="26">
      <c r="A26" s="4" t="n">
        <v>11</v>
      </c>
      <c r="B26" s="4" t="inlineStr">
        <is>
          <t>ORG-005</t>
        </is>
      </c>
      <c r="C26" s="4" t="inlineStr">
        <is>
          <t>delta_spec</t>
        </is>
      </c>
      <c r="D26" s="4" t="inlineStr">
        <is>
          <t>Spectral gap</t>
        </is>
      </c>
      <c r="E26" s="4" t="inlineStr">
        <is>
          <t>delta_spec = lambda_1(L) - lambda_0(L) = lambda_1(L)</t>
        </is>
      </c>
      <c r="F26" s="4" t="inlineStr">
        <is>
          <t>DER-SPC-006</t>
        </is>
      </c>
      <c r="G26" s="4" t="inlineStr">
        <is>
          <t>OPEN (uniqueness)</t>
        </is>
      </c>
      <c r="H26" s="4" t="n"/>
    </row>
    <row r="27">
      <c r="A27" s="4" t="n">
        <v>11</v>
      </c>
      <c r="B27" s="4" t="inlineStr">
        <is>
          <t>ORG-006</t>
        </is>
      </c>
      <c r="C27" s="4" t="inlineStr">
        <is>
          <t>N_sub</t>
        </is>
      </c>
      <c r="D27" s="4" t="inlineStr">
        <is>
          <t>Spectral trace dimension</t>
        </is>
      </c>
      <c r="E27" s="4" t="inlineStr">
        <is>
          <t>N_sub = 4.7619 (locked by n_s = 0.965)</t>
        </is>
      </c>
      <c r="F27" s="4" t="inlineStr">
        <is>
          <t>SEIT predictions</t>
        </is>
      </c>
      <c r="G27" s="4" t="inlineStr">
        <is>
          <t>CERTIFIED (CMB lock)</t>
        </is>
      </c>
      <c r="H27" s="4" t="n"/>
    </row>
    <row r="28">
      <c r="A28" s="4" t="n">
        <v>11</v>
      </c>
      <c r="B28" s="4" t="inlineStr">
        <is>
          <t>ORG-007</t>
        </is>
      </c>
      <c r="C28" s="4" t="inlineStr">
        <is>
          <t>D_s</t>
        </is>
      </c>
      <c r="D28" s="4" t="inlineStr">
        <is>
          <t>Spectral dimension</t>
        </is>
      </c>
      <c r="E28" s="4" t="inlineStr">
        <is>
          <t>D_s = -2 lim_{t-&gt;0} d(ln P(t))/d(ln t)</t>
        </is>
      </c>
      <c r="F28" s="4" t="inlineStr">
        <is>
          <t>DER-SPC-004</t>
        </is>
      </c>
      <c r="G28" s="4" t="inlineStr">
        <is>
          <t>CERTIFIED</t>
        </is>
      </c>
      <c r="H28" s="4" t="n"/>
    </row>
    <row r="29">
      <c r="A29" s="4" t="n">
        <v>11</v>
      </c>
      <c r="B29" s="4" t="inlineStr">
        <is>
          <t>ORG-008</t>
        </is>
      </c>
      <c r="C29" s="4" t="inlineStr">
        <is>
          <t>C(O)</t>
        </is>
      </c>
      <c r="D29" s="4" t="inlineStr">
        <is>
          <t>Canonical DTC form of system O</t>
        </is>
      </c>
      <c r="E29" s="4" t="inlineStr">
        <is>
          <t>C(O) = canonical G* expression in {D,T,C}</t>
        </is>
      </c>
      <c r="F29" s="4" t="inlineStr">
        <is>
          <t>DER-ORG-005</t>
        </is>
      </c>
      <c r="G29" s="4" t="inlineStr">
        <is>
          <t>CERTIFIED (modulo completeness)</t>
        </is>
      </c>
      <c r="H29" s="4" t="n"/>
    </row>
    <row r="30">
      <c r="A30" s="4" t="n">
        <v>30</v>
      </c>
      <c r="B30" s="4" t="inlineStr">
        <is>
          <t>CHR-001</t>
        </is>
      </c>
      <c r="C30" s="4" t="inlineStr">
        <is>
          <t>q</t>
        </is>
      </c>
      <c r="D30" s="4" t="inlineStr">
        <is>
          <t>Generic electric charge</t>
        </is>
      </c>
      <c r="E30" s="4" t="inlineStr">
        <is>
          <t>e</t>
        </is>
      </c>
      <c r="F30" s="4" t="inlineStr">
        <is>
          <t>U(1)_EM</t>
        </is>
      </c>
      <c r="G30" s="4" t="inlineStr">
        <is>
          <t>Measures coupling of a Distinction boundary to the electromagnetic gauge field</t>
        </is>
      </c>
      <c r="H30" s="4" t="n"/>
    </row>
    <row r="31">
      <c r="A31" s="4" t="n">
        <v>30</v>
      </c>
      <c r="B31" s="4" t="inlineStr">
        <is>
          <t>CHR-002</t>
        </is>
      </c>
      <c r="C31" s="4" t="inlineStr">
        <is>
          <t>e</t>
        </is>
      </c>
      <c r="D31" s="4" t="inlineStr">
        <is>
          <t>Elementary charge (as quantity)</t>
        </is>
      </c>
      <c r="E31" s="4" t="inlineStr">
        <is>
          <t>PHYS-004 (e as constant)</t>
        </is>
      </c>
      <c r="F31" s="4" t="inlineStr">
        <is>
          <t>U(1)_EM</t>
        </is>
      </c>
      <c r="G31" s="4" t="inlineStr">
        <is>
          <t>The minimal quantum of electromagnetic coupling. Root of the EM charge sector.</t>
        </is>
      </c>
      <c r="H31" s="4" t="n"/>
    </row>
    <row r="32">
      <c r="A32" s="4" t="n">
        <v>30</v>
      </c>
      <c r="B32" s="4" t="inlineStr">
        <is>
          <t>CHR-003</t>
        </is>
      </c>
      <c r="C32" s="4" t="inlineStr">
        <is>
          <t>Q_color</t>
        </is>
      </c>
      <c r="D32" s="4" t="inlineStr">
        <is>
          <t>Color charge</t>
        </is>
      </c>
      <c r="E32" s="4" t="inlineStr">
        <is>
          <t>alpha_s (PHYS-014)</t>
        </is>
      </c>
      <c r="F32" s="4" t="inlineStr">
        <is>
          <t>SU(3)_color</t>
        </is>
      </c>
      <c r="G32" s="4" t="inlineStr">
        <is>
          <t>Measures coupling to gluon field; confined — never observed in isolation</t>
        </is>
      </c>
      <c r="H32" s="4" t="n"/>
    </row>
    <row r="33">
      <c r="A33" s="4" t="n">
        <v>30</v>
      </c>
      <c r="B33" s="4" t="inlineStr">
        <is>
          <t>CHR-004</t>
        </is>
      </c>
      <c r="C33" s="4" t="inlineStr">
        <is>
          <t>Q_weak</t>
        </is>
      </c>
      <c r="D33" s="4" t="inlineStr">
        <is>
          <t>Weak isospin charge</t>
        </is>
      </c>
      <c r="E33" s="4" t="inlineStr">
        <is>
          <t>g_W (PHYS-015)</t>
        </is>
      </c>
      <c r="F33" s="4" t="inlineStr">
        <is>
          <t>SU(2)_L</t>
        </is>
      </c>
      <c r="G33" s="4" t="inlineStr">
        <is>
          <t>Measures coupling to W/Z bosons; left-chiral only (parity violation)</t>
        </is>
      </c>
      <c r="H33" s="4" t="n"/>
    </row>
    <row r="34">
      <c r="A34" s="4" t="n">
        <v>30</v>
      </c>
      <c r="B34" s="4" t="inlineStr">
        <is>
          <t>CHR-005</t>
        </is>
      </c>
      <c r="C34" s="4" t="inlineStr">
        <is>
          <t>Q_org</t>
        </is>
      </c>
      <c r="D34" s="4" t="inlineStr">
        <is>
          <t>Organizational charge</t>
        </is>
      </c>
      <c r="E34" s="4" t="inlineStr">
        <is>
          <t>Gamma, kappa</t>
        </is>
      </c>
      <c r="F34" s="4" t="inlineStr">
        <is>
          <t>Grammar symmetry group</t>
        </is>
      </c>
      <c r="G34" s="4" t="inlineStr">
        <is>
          <t>The compiler analogue: measures how strongly a distinction boundary couples to the organizational constraint field</t>
        </is>
      </c>
      <c r="H34" s="4" t="n"/>
    </row>
    <row r="35">
      <c r="A35" s="4" t="n">
        <v>31</v>
      </c>
      <c r="B35" s="4" t="inlineStr">
        <is>
          <t>MOM-001</t>
        </is>
      </c>
      <c r="C35" s="4" t="inlineStr">
        <is>
          <t>p</t>
        </is>
      </c>
      <c r="D35" s="4" t="inlineStr">
        <is>
          <t>Linear momentum</t>
        </is>
      </c>
      <c r="E35" s="4" t="inlineStr">
        <is>
          <t>p = m v = hbar k</t>
        </is>
      </c>
      <c r="F35" s="4" t="inlineStr">
        <is>
          <t>hbar, m</t>
        </is>
      </c>
      <c r="G35" s="4" t="inlineStr">
        <is>
          <t>Lorentz group (4-vector p^mu = (E/c, p))</t>
        </is>
      </c>
      <c r="H35" s="4" t="n"/>
    </row>
    <row r="36">
      <c r="A36" s="4" t="n">
        <v>31</v>
      </c>
      <c r="B36" s="4" t="inlineStr">
        <is>
          <t>MOM-002</t>
        </is>
      </c>
      <c r="C36" s="4" t="inlineStr">
        <is>
          <t>P</t>
        </is>
      </c>
      <c r="D36" s="4" t="inlineStr">
        <is>
          <t>Canonical momentum (Hamiltonian)</t>
        </is>
      </c>
      <c r="E36" s="4" t="inlineStr">
        <is>
          <t>P = dL/d(q_dot)</t>
        </is>
      </c>
      <c r="F36" s="4" t="inlineStr">
        <is>
          <t>hbar</t>
        </is>
      </c>
      <c r="G36" s="4" t="inlineStr">
        <is>
          <t>Symplectic group Sp(2n)</t>
        </is>
      </c>
      <c r="H36" s="4" t="n"/>
    </row>
    <row r="37">
      <c r="A37" s="4" t="n">
        <v>31</v>
      </c>
      <c r="B37" s="4" t="inlineStr">
        <is>
          <t>MOM-003</t>
        </is>
      </c>
      <c r="C37" s="4" t="inlineStr">
        <is>
          <t>L_ang</t>
        </is>
      </c>
      <c r="D37" s="4" t="inlineStr">
        <is>
          <t>Angular momentum</t>
        </is>
      </c>
      <c r="E37" s="4" t="inlineStr">
        <is>
          <t>L = r x p</t>
        </is>
      </c>
      <c r="F37" s="4" t="inlineStr">
        <is>
          <t>hbar</t>
        </is>
      </c>
      <c r="G37" s="4" t="inlineStr">
        <is>
          <t>SO(3) rotational symmetry</t>
        </is>
      </c>
      <c r="H37" s="4" t="n"/>
    </row>
    <row r="38">
      <c r="A38" s="4" t="n">
        <v>31</v>
      </c>
      <c r="B38" s="4" t="inlineStr">
        <is>
          <t>MOM-004</t>
        </is>
      </c>
      <c r="C38" s="4" t="inlineStr">
        <is>
          <t>S_spin</t>
        </is>
      </c>
      <c r="D38" s="4" t="inlineStr">
        <is>
          <t>Spin angular momentum</t>
        </is>
      </c>
      <c r="E38" s="4" t="inlineStr">
        <is>
          <t>S = (hbar/2) sigma</t>
        </is>
      </c>
      <c r="F38" s="4" t="inlineStr">
        <is>
          <t>hbar</t>
        </is>
      </c>
      <c r="G38" s="4" t="inlineStr">
        <is>
          <t>SU(2) spin symmetry; DER-QR-007</t>
        </is>
      </c>
      <c r="H38" s="4" t="n"/>
    </row>
    <row r="39">
      <c r="A39" s="4" t="n">
        <v>31</v>
      </c>
      <c r="B39" s="4" t="inlineStr">
        <is>
          <t>MOM-005</t>
        </is>
      </c>
      <c r="C39" s="4" t="inlineStr">
        <is>
          <t>p_org</t>
        </is>
      </c>
      <c r="D39" s="4" t="inlineStr">
        <is>
          <t>Organizational momentum</t>
        </is>
      </c>
      <c r="E39" s="4" t="inlineStr">
        <is>
          <t>p_org = Gamma dot y (conjugate to org. coordinate)</t>
        </is>
      </c>
      <c r="F39" s="4" t="inlineStr">
        <is>
          <t>Gamma, g_{ab}</t>
        </is>
      </c>
      <c r="G39" s="4" t="inlineStr">
        <is>
          <t>DTC composition symmetry</t>
        </is>
      </c>
      <c r="H39" s="4" t="n"/>
    </row>
    <row r="40">
      <c r="A40" s="4" t="n">
        <v>32</v>
      </c>
      <c r="B40" s="4" t="inlineStr">
        <is>
          <t>ACT-001</t>
        </is>
      </c>
      <c r="C40" s="4" t="inlineStr">
        <is>
          <t>S</t>
        </is>
      </c>
      <c r="D40" s="4" t="inlineStr">
        <is>
          <t>Classical action</t>
        </is>
      </c>
      <c r="E40" s="4" t="inlineStr">
        <is>
          <t>S = INT L dt = INT (T-V) dt</t>
        </is>
      </c>
      <c r="F40" s="4" t="inlineStr">
        <is>
          <t>hbar (quantum unit)</t>
        </is>
      </c>
      <c r="G40" s="4" t="inlineStr">
        <is>
          <t>DER-VAR-002; delta S = 0 gives field equations</t>
        </is>
      </c>
      <c r="H40" s="4" t="n"/>
    </row>
    <row r="41">
      <c r="A41" s="4" t="n">
        <v>32</v>
      </c>
      <c r="B41" s="4" t="inlineStr">
        <is>
          <t>ACT-002</t>
        </is>
      </c>
      <c r="C41" s="4" t="inlineStr">
        <is>
          <t>S_EH</t>
        </is>
      </c>
      <c r="D41" s="4" t="inlineStr">
        <is>
          <t>Einstein-Hilbert action</t>
        </is>
      </c>
      <c r="E41" s="4" t="inlineStr">
        <is>
          <t>S_EH = (1/16piG) INT R sqrt|g| d^4x</t>
        </is>
      </c>
      <c r="F41" s="4" t="inlineStr">
        <is>
          <t>G, c</t>
        </is>
      </c>
      <c r="G41" s="4" t="inlineStr">
        <is>
          <t>DER-VAR-004; CERTIFIED</t>
        </is>
      </c>
      <c r="H41" s="4" t="n"/>
    </row>
    <row r="42">
      <c r="A42" s="4" t="n">
        <v>32</v>
      </c>
      <c r="B42" s="4" t="inlineStr">
        <is>
          <t>ACT-003</t>
        </is>
      </c>
      <c r="C42" s="4" t="inlineStr">
        <is>
          <t>S_SM</t>
        </is>
      </c>
      <c r="D42" s="4" t="inlineStr">
        <is>
          <t>Standard Model action</t>
        </is>
      </c>
      <c r="E42" s="4" t="inlineStr">
        <is>
          <t>S_SM = INT L_SM sqrt|g| d^4x</t>
        </is>
      </c>
      <c r="F42" s="4" t="inlineStr">
        <is>
          <t>e, g_W, alpha_s, v_H, m_f</t>
        </is>
      </c>
      <c r="G42" s="4" t="inlineStr">
        <is>
          <t>DER-GAU-004, DER-QR-003; full SM action</t>
        </is>
      </c>
      <c r="H42" s="4" t="n"/>
    </row>
    <row r="43">
      <c r="A43" s="4" t="n">
        <v>32</v>
      </c>
      <c r="B43" s="4" t="inlineStr">
        <is>
          <t>ACT-004</t>
        </is>
      </c>
      <c r="C43" s="4" t="inlineStr">
        <is>
          <t>C_Pi</t>
        </is>
      </c>
      <c r="D43" s="4" t="inlineStr">
        <is>
          <t>Persistence Cost Functional</t>
        </is>
      </c>
      <c r="E43" s="4" t="inlineStr">
        <is>
          <t>C_Pi[y] = INT(g_{ab}y'_a y'_b + 2 I_F) dt</t>
        </is>
      </c>
      <c r="F43" s="4" t="inlineStr">
        <is>
          <t>Gamma, g_{ab}</t>
        </is>
      </c>
      <c r="G43" s="4" t="inlineStr">
        <is>
          <t>DER-VAR-001; CERTIFIED; organizational action</t>
        </is>
      </c>
      <c r="H43" s="4" t="n"/>
    </row>
    <row r="44">
      <c r="A44" s="4" t="n">
        <v>32</v>
      </c>
      <c r="B44" s="4" t="inlineStr">
        <is>
          <t>ACT-005</t>
        </is>
      </c>
      <c r="C44" s="4" t="inlineStr">
        <is>
          <t>S_B</t>
        </is>
      </c>
      <c r="D44" s="4" t="inlineStr">
        <is>
          <t>ARBS Spectral Action</t>
        </is>
      </c>
      <c r="E44" s="4" t="inlineStr">
        <is>
          <t>S_B = Tr(f(D_A / Lambda))</t>
        </is>
      </c>
      <c r="F44" s="4" t="inlineStr">
        <is>
          <t>Lambda, D</t>
        </is>
      </c>
      <c r="G44" s="4" t="inlineStr">
        <is>
          <t>DER-VAR-006 (spectral action); CERTIFIED via Connes-Chamseddine</t>
        </is>
      </c>
      <c r="H44" s="4" t="n"/>
    </row>
  </sheetData>
  <autoFilter ref="A1:H44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8" customWidth="1" min="3" max="3"/>
    <col width="45" customWidth="1" min="4" max="4"/>
    <col width="25" customWidth="1" min="5" max="5"/>
  </cols>
  <sheetData>
    <row r="1">
      <c r="A1" s="3" t="inlineStr">
        <is>
          <t>ID</t>
        </is>
      </c>
      <c r="B1" s="3" t="inlineStr">
        <is>
          <t>Symbol</t>
        </is>
      </c>
      <c r="C1" s="3" t="inlineStr">
        <is>
          <t>Object Class</t>
        </is>
      </c>
      <c r="D1" s="3" t="inlineStr">
        <is>
          <t>Dimension</t>
        </is>
      </c>
      <c r="E1" s="3" t="inlineStr">
        <is>
          <t>Status</t>
        </is>
      </c>
    </row>
    <row r="2">
      <c r="A2" s="4" t="inlineStr">
        <is>
          <t>DIM-004</t>
        </is>
      </c>
      <c r="B2" s="4" t="inlineStr">
        <is>
          <t>Π</t>
        </is>
      </c>
      <c r="C2" s="4" t="inlineStr">
        <is>
          <t>persistence</t>
        </is>
      </c>
      <c r="D2" s="4" t="inlineStr">
        <is>
          <t>dimensionless in normalized persistence forms; specific functionals may carry dimensions</t>
        </is>
      </c>
      <c r="E2" s="4" t="inlineStr">
        <is>
          <t>SCOPED</t>
        </is>
      </c>
    </row>
    <row r="3">
      <c r="A3" s="4" t="inlineStr">
        <is>
          <t>DIM-005</t>
        </is>
      </c>
      <c r="B3" s="4" t="inlineStr">
        <is>
          <t>L</t>
        </is>
      </c>
      <c r="C3" s="4" t="inlineStr">
        <is>
          <t>graph Laplacian</t>
        </is>
      </c>
      <c r="D3" s="4" t="inlineStr">
        <is>
          <t>L^-2 in continuum physical realization</t>
        </is>
      </c>
      <c r="E3" s="4" t="inlineStr">
        <is>
          <t>DERIVED/SCOPED</t>
        </is>
      </c>
    </row>
    <row r="4">
      <c r="A4" s="4" t="inlineStr">
        <is>
          <t>DIM-006</t>
        </is>
      </c>
      <c r="B4" s="4" t="inlineStr">
        <is>
          <t>λ</t>
        </is>
      </c>
      <c r="C4" s="4" t="inlineStr">
        <is>
          <t>Laplacian eigenvalue</t>
        </is>
      </c>
      <c r="D4" s="4" t="inlineStr">
        <is>
          <t>L^-2</t>
        </is>
      </c>
      <c r="E4" s="4" t="inlineStr">
        <is>
          <t>DERIVED</t>
        </is>
      </c>
    </row>
    <row r="5">
      <c r="A5" s="4" t="inlineStr">
        <is>
          <t>DIM-007</t>
        </is>
      </c>
      <c r="B5" s="4" t="inlineStr">
        <is>
          <t>t</t>
        </is>
      </c>
      <c r="C5" s="4" t="inlineStr">
        <is>
          <t>heat-kernel time</t>
        </is>
      </c>
      <c r="D5" s="4" t="inlineStr">
        <is>
          <t>L^2 in diffusion normalization</t>
        </is>
      </c>
      <c r="E5" s="4" t="inlineStr">
        <is>
          <t>DERIVED/CONVENTION DEPENDENT</t>
        </is>
      </c>
    </row>
    <row r="6">
      <c r="A6" s="4" t="inlineStr">
        <is>
          <t>DIM-008</t>
        </is>
      </c>
      <c r="B6" s="4" t="inlineStr">
        <is>
          <t>R</t>
        </is>
      </c>
      <c r="C6" s="4" t="inlineStr">
        <is>
          <t>Ricci scalar</t>
        </is>
      </c>
      <c r="D6" s="4" t="inlineStr">
        <is>
          <t>L^-2</t>
        </is>
      </c>
      <c r="E6" s="4" t="inlineStr">
        <is>
          <t>DERIVED</t>
        </is>
      </c>
    </row>
    <row r="7">
      <c r="A7" s="4" t="inlineStr">
        <is>
          <t>DIM-009</t>
        </is>
      </c>
      <c r="B7" s="4" t="inlineStr">
        <is>
          <t>H</t>
        </is>
      </c>
      <c r="C7" s="4" t="inlineStr">
        <is>
          <t>Hubble rate</t>
        </is>
      </c>
      <c r="D7" s="4" t="inlineStr">
        <is>
          <t>T^-1</t>
        </is>
      </c>
      <c r="E7" s="4" t="inlineStr">
        <is>
          <t>DERIVED/ADMITTED</t>
        </is>
      </c>
    </row>
    <row r="8">
      <c r="A8" s="4" t="inlineStr">
        <is>
          <t>DIM-013</t>
        </is>
      </c>
      <c r="B8" s="4" t="inlineStr">
        <is>
          <t>ℓ_p</t>
        </is>
      </c>
      <c r="C8" s="4" t="inlineStr">
        <is>
          <t>Planck length</t>
        </is>
      </c>
      <c r="D8" s="4" t="inlineStr">
        <is>
          <t>L; sqrt(ℏG/c^3)</t>
        </is>
      </c>
      <c r="E8" s="4" t="inlineStr">
        <is>
          <t>DERIVED FROM ROOT CONSTANTS</t>
        </is>
      </c>
    </row>
    <row r="9">
      <c r="A9" s="4" t="inlineStr">
        <is>
          <t>DIM-015</t>
        </is>
      </c>
      <c r="B9" s="4" t="inlineStr">
        <is>
          <t>Λ_cosm</t>
        </is>
      </c>
      <c r="C9" s="4" t="inlineStr">
        <is>
          <t>cosmological constant</t>
        </is>
      </c>
      <c r="D9" s="4" t="inlineStr">
        <is>
          <t>L^-2</t>
        </is>
      </c>
      <c r="E9" s="4" t="inlineStr">
        <is>
          <t>DOWNSTREAM DERIVED GIVEN Λ_*</t>
        </is>
      </c>
    </row>
    <row r="10">
      <c r="A10" s="4" t="inlineStr">
        <is>
          <t>DIM-016</t>
        </is>
      </c>
      <c r="B10" s="4" t="inlineStr">
        <is>
          <t>Ξ</t>
        </is>
      </c>
      <c r="C10" s="4" t="inlineStr">
        <is>
          <t>dimensionless cutoff ratio</t>
        </is>
      </c>
      <c r="D10" s="4" t="inlineStr">
        <is>
          <t>1; Λ_*ℓ_p</t>
        </is>
      </c>
      <c r="E10" s="4" t="inlineStr">
        <is>
          <t>DEFINED / TARGET</t>
        </is>
      </c>
    </row>
    <row r="11">
      <c r="A11" s="4" t="inlineStr">
        <is>
          <t>DIM-017</t>
        </is>
      </c>
      <c r="B11" s="4" t="inlineStr">
        <is>
          <t>A_H</t>
        </is>
      </c>
      <c r="C11" s="4" t="inlineStr">
        <is>
          <t>horizon area</t>
        </is>
      </c>
      <c r="D11" s="4" t="inlineStr">
        <is>
          <t>L^2</t>
        </is>
      </c>
      <c r="E11" s="4" t="inlineStr">
        <is>
          <t>SPECTRAL GEOMETRY DERIVED FOR TEST FAMILY</t>
        </is>
      </c>
    </row>
    <row r="12">
      <c r="A12" s="4" t="inlineStr">
        <is>
          <t>DIM-019</t>
        </is>
      </c>
      <c r="B12" s="4" t="inlineStr">
        <is>
          <t>ρ_vac</t>
        </is>
      </c>
      <c r="C12" s="4" t="inlineStr">
        <is>
          <t>vacuum energy density</t>
        </is>
      </c>
      <c r="D12" s="4" t="inlineStr">
        <is>
          <t>M L^-1 T^-2</t>
        </is>
      </c>
      <c r="E12" s="4" t="inlineStr">
        <is>
          <t>DOWNSTREAM DERIVED GIVEN Λ_*</t>
        </is>
      </c>
    </row>
    <row r="13">
      <c r="A13" s="4" t="inlineStr">
        <is>
          <t>DIM-020</t>
        </is>
      </c>
      <c r="B13" s="4" t="inlineStr">
        <is>
          <t>a(t)</t>
        </is>
      </c>
      <c r="C13" s="4" t="inlineStr">
        <is>
          <t>scale factor</t>
        </is>
      </c>
      <c r="D13" s="4" t="inlineStr">
        <is>
          <t>dimensionless or normalized length convention</t>
        </is>
      </c>
      <c r="E13" s="4" t="inlineStr">
        <is>
          <t>DOWNSTREAM</t>
        </is>
      </c>
    </row>
  </sheetData>
  <autoFilter ref="A1:E13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35" customWidth="1" min="3" max="3"/>
    <col width="62" customWidth="1" min="4" max="4"/>
    <col width="32" customWidth="1" min="5" max="5"/>
    <col width="65" customWidth="1" min="6" max="6"/>
  </cols>
  <sheetData>
    <row r="1">
      <c r="A1" s="3" t="inlineStr">
        <is>
          <t>Bridge_ID</t>
        </is>
      </c>
      <c r="B1" s="3" t="inlineStr">
        <is>
          <t>From→To</t>
        </is>
      </c>
      <c r="C1" s="3" t="inlineStr">
        <is>
          <t>Bridge Name</t>
        </is>
      </c>
      <c r="D1" s="3" t="inlineStr">
        <is>
          <t>Mathematical Form</t>
        </is>
      </c>
      <c r="E1" s="3" t="inlineStr">
        <is>
          <t>Derivation Status</t>
        </is>
      </c>
      <c r="F1" s="3" t="inlineStr">
        <is>
          <t>Closure / Dependency Note</t>
        </is>
      </c>
    </row>
    <row r="2">
      <c r="A2" s="4" t="inlineStr">
        <is>
          <t>BR-001</t>
        </is>
      </c>
      <c r="B2" s="4" t="inlineStr">
        <is>
          <t>(Δ,τ,κ,Π)→Γ</t>
        </is>
      </c>
      <c r="C2" s="4" t="inlineStr">
        <is>
          <t>Grammar composition</t>
        </is>
      </c>
      <c r="D2" s="4" t="inlineStr">
        <is>
          <t>Γ=κ∘τ∘Δ / DTC composition</t>
        </is>
      </c>
      <c r="E2" s="4" t="inlineStr">
        <is>
          <t>CERTIFIED SPINE</t>
        </is>
      </c>
      <c r="F2" s="4" t="inlineStr">
        <is>
          <t>C0 canonical uniqueness remains open</t>
        </is>
      </c>
    </row>
    <row r="3">
      <c r="A3" s="4" t="inlineStr">
        <is>
          <t>BR-002</t>
        </is>
      </c>
      <c r="B3" s="4" t="inlineStr">
        <is>
          <t>Γ→O→Ψ</t>
        </is>
      </c>
      <c r="C3" s="4" t="inlineStr">
        <is>
          <t>Organizational evolution</t>
        </is>
      </c>
      <c r="D3" s="4" t="inlineStr">
        <is>
          <t>Evolution operator / recursive state update</t>
        </is>
      </c>
      <c r="E3" s="4" t="inlineStr">
        <is>
          <t>CERTIFIED/PARTIAL</t>
        </is>
      </c>
      <c r="F3" s="4" t="inlineStr">
        <is>
          <t>Fixed-point closure remains open</t>
        </is>
      </c>
    </row>
    <row r="4">
      <c r="A4" s="4" t="inlineStr">
        <is>
          <t>BR-003</t>
        </is>
      </c>
      <c r="B4" s="4" t="inlineStr">
        <is>
          <t>Ψ→G</t>
        </is>
      </c>
      <c r="C4" s="4" t="inlineStr">
        <is>
          <t>Organizational state to graph</t>
        </is>
      </c>
      <c r="D4" s="4" t="inlineStr">
        <is>
          <t>Graph substrate realization</t>
        </is>
      </c>
      <c r="E4" s="4" t="inlineStr">
        <is>
          <t>CALCULATED/SCOPED</t>
        </is>
      </c>
      <c r="F4" s="4" t="inlineStr">
        <is>
          <t>Representation universality open</t>
        </is>
      </c>
    </row>
    <row r="5">
      <c r="A5" s="4" t="inlineStr">
        <is>
          <t>BR-004</t>
        </is>
      </c>
      <c r="B5" s="4" t="inlineStr">
        <is>
          <t>G→L</t>
        </is>
      </c>
      <c r="C5" s="4" t="inlineStr">
        <is>
          <t>Graph to Laplacian</t>
        </is>
      </c>
      <c r="D5" s="4" t="inlineStr">
        <is>
          <t>L=D-A</t>
        </is>
      </c>
      <c r="E5" s="4" t="inlineStr">
        <is>
          <t>CERTIFIED</t>
        </is>
      </c>
      <c r="F5" s="4" t="inlineStr">
        <is>
          <t>Graph assumptions</t>
        </is>
      </c>
    </row>
    <row r="6">
      <c r="A6" s="4" t="inlineStr">
        <is>
          <t>BR-005</t>
        </is>
      </c>
      <c r="B6" s="4" t="inlineStr">
        <is>
          <t>L→Spec(L)</t>
        </is>
      </c>
      <c r="C6" s="4" t="inlineStr">
        <is>
          <t>Spectral decomposition</t>
        </is>
      </c>
      <c r="D6" s="4" t="inlineStr">
        <is>
          <t>Lφ=λφ</t>
        </is>
      </c>
      <c r="E6" s="4" t="inlineStr">
        <is>
          <t>CERTIFIED</t>
        </is>
      </c>
      <c r="F6" s="4" t="inlineStr">
        <is>
          <t>Self-adjoint/finite graph conditions</t>
        </is>
      </c>
    </row>
    <row r="7">
      <c r="A7" s="4" t="inlineStr">
        <is>
          <t>BR-006</t>
        </is>
      </c>
      <c r="B7" s="4" t="inlineStr">
        <is>
          <t>Spec(L)→K_t</t>
        </is>
      </c>
      <c r="C7" s="4" t="inlineStr">
        <is>
          <t>Spectrum to heat semigroup</t>
        </is>
      </c>
      <c r="D7" s="4" t="inlineStr">
        <is>
          <t>e^{-tL}</t>
        </is>
      </c>
      <c r="E7" s="4" t="inlineStr">
        <is>
          <t>CERTIFIED</t>
        </is>
      </c>
      <c r="F7" s="4" t="inlineStr">
        <is>
          <t>PSD/self-adjoint</t>
        </is>
      </c>
    </row>
    <row r="8">
      <c r="A8" s="4" t="inlineStr">
        <is>
          <t>BR-007</t>
        </is>
      </c>
      <c r="B8" s="4" t="inlineStr">
        <is>
          <t>Spec(L)→d</t>
        </is>
      </c>
      <c r="C8" s="4" t="inlineStr">
        <is>
          <t>Spectrum to diffusion distance</t>
        </is>
      </c>
      <c r="D8" s="4" t="inlineStr">
        <is>
          <t>d(i,j)=sqrt(Σ(...)/λ_k)</t>
        </is>
      </c>
      <c r="E8" s="4" t="inlineStr">
        <is>
          <t>CALCULATED/SCOPED</t>
        </is>
      </c>
      <c r="F8" s="4" t="inlineStr">
        <is>
          <t>Nonzero modes</t>
        </is>
      </c>
    </row>
    <row r="9">
      <c r="A9" s="4" t="inlineStr">
        <is>
          <t>BR-008</t>
        </is>
      </c>
      <c r="B9" s="4" t="inlineStr">
        <is>
          <t>d→g</t>
        </is>
      </c>
      <c r="C9" s="4" t="inlineStr">
        <is>
          <t>Distance to metric</t>
        </is>
      </c>
      <c r="D9" s="4" t="inlineStr">
        <is>
          <t>Spectral metric reconstruction</t>
        </is>
      </c>
      <c r="E9" s="4" t="inlineStr">
        <is>
          <t>CALCULATED/SCOPED</t>
        </is>
      </c>
      <c r="F9" s="4" t="inlineStr">
        <is>
          <t>Continuum/refinement assumptions</t>
        </is>
      </c>
    </row>
    <row r="10">
      <c r="A10" s="4" t="inlineStr">
        <is>
          <t>BR-009</t>
        </is>
      </c>
      <c r="B10" s="4" t="inlineStr">
        <is>
          <t>g→∇</t>
        </is>
      </c>
      <c r="C10" s="4" t="inlineStr">
        <is>
          <t>Metric to connection</t>
        </is>
      </c>
      <c r="D10" s="4" t="inlineStr">
        <is>
          <t>Levi-Civita compatibility</t>
        </is>
      </c>
      <c r="E10" s="4" t="inlineStr">
        <is>
          <t>DERIVED</t>
        </is>
      </c>
      <c r="F10" s="4" t="inlineStr">
        <is>
          <t>Riemannian scope</t>
        </is>
      </c>
    </row>
    <row r="11">
      <c r="A11" s="4" t="inlineStr">
        <is>
          <t>BR-010</t>
        </is>
      </c>
      <c r="B11" s="4" t="inlineStr">
        <is>
          <t>∇→Riemann→Ricci→R→G</t>
        </is>
      </c>
      <c r="C11" s="4" t="inlineStr">
        <is>
          <t>Curvature hierarchy</t>
        </is>
      </c>
      <c r="D11" s="4" t="inlineStr">
        <is>
          <t>Standard geometric contractions</t>
        </is>
      </c>
      <c r="E11" s="4" t="inlineStr">
        <is>
          <t>DERIVED</t>
        </is>
      </c>
      <c r="F11" s="4" t="inlineStr">
        <is>
          <t>Metric differentiability</t>
        </is>
      </c>
    </row>
    <row r="12">
      <c r="A12" s="4" t="inlineStr">
        <is>
          <t>BR-011</t>
        </is>
      </c>
      <c r="B12" s="4" t="inlineStr">
        <is>
          <t>G→Einstein dynamics</t>
        </is>
      </c>
      <c r="C12" s="4" t="inlineStr">
        <is>
          <t>Einstein tensor to field equation</t>
        </is>
      </c>
      <c r="D12" s="4" t="inlineStr">
        <is>
          <t>G_μν+Λg_μν=...</t>
        </is>
      </c>
      <c r="E12" s="4" t="inlineStr">
        <is>
          <t>DERIVED/ADMITTED</t>
        </is>
      </c>
      <c r="F12" s="4" t="inlineStr">
        <is>
          <t>Matter source/coupling status version-dependent</t>
        </is>
      </c>
    </row>
    <row r="13">
      <c r="A13" s="4" t="inlineStr">
        <is>
          <t>BR-012</t>
        </is>
      </c>
      <c r="B13" s="4" t="inlineStr">
        <is>
          <t>L→D</t>
        </is>
      </c>
      <c r="C13" s="4" t="inlineStr">
        <is>
          <t>Graph Laplacian to Dirac</t>
        </is>
      </c>
      <c r="D13" s="4" t="inlineStr">
        <is>
          <t>D=√L / spectral correspondence</t>
        </is>
      </c>
      <c r="E13" s="4" t="inlineStr">
        <is>
          <t>CERTIFIED IN UCG SOURCE</t>
        </is>
      </c>
      <c r="F13" s="4" t="inlineStr">
        <is>
          <t>Scope and NCG equivalence remain a distinct issue</t>
        </is>
      </c>
    </row>
    <row r="14">
      <c r="A14" s="4" t="inlineStr">
        <is>
          <t>BR-013</t>
        </is>
      </c>
      <c r="B14" s="4" t="inlineStr">
        <is>
          <t>L→R=e^{-βL}</t>
        </is>
      </c>
      <c r="C14" s="4" t="inlineStr">
        <is>
          <t>Spectral persistence filter</t>
        </is>
      </c>
      <c r="D14" s="4" t="inlineStr">
        <is>
          <t>Contraction on ker(L)^⊥</t>
        </is>
      </c>
      <c r="E14" s="4" t="inlineStr">
        <is>
          <t>CERTIFIED</t>
        </is>
      </c>
      <c r="F14" s="4" t="inlineStr">
        <is>
          <t>Persistence interpretation open</t>
        </is>
      </c>
    </row>
    <row r="15">
      <c r="A15" s="4" t="inlineStr">
        <is>
          <t>BR-014</t>
        </is>
      </c>
      <c r="B15" s="4" t="inlineStr">
        <is>
          <t>C_Π→δC_Π=0</t>
        </is>
      </c>
      <c r="C15" s="4" t="inlineStr">
        <is>
          <t>Persistence cost to field equation</t>
        </is>
      </c>
      <c r="D15" s="4" t="inlineStr">
        <is>
          <t>Euler-Lagrange</t>
        </is>
      </c>
      <c r="E15" s="4" t="inlineStr">
        <is>
          <t>CERTIFIED</t>
        </is>
      </c>
      <c r="F15" s="4" t="inlineStr">
        <is>
          <t>Functional assumptions</t>
        </is>
      </c>
    </row>
    <row r="16">
      <c r="A16" s="4" t="inlineStr">
        <is>
          <t>BR-015</t>
        </is>
      </c>
      <c r="B16" s="4" t="inlineStr">
        <is>
          <t>I_F→geodesic</t>
        </is>
      </c>
      <c r="C16" s="4" t="inlineStr">
        <is>
          <t>Zero informational-loss limit</t>
        </is>
      </c>
      <c r="D16" s="4" t="inlineStr">
        <is>
          <t>I_F=0→geodesic</t>
        </is>
      </c>
      <c r="E16" s="4" t="inlineStr">
        <is>
          <t>CERTIFIED</t>
        </is>
      </c>
      <c r="F16" s="4" t="inlineStr">
        <is>
          <t>Model branch</t>
        </is>
      </c>
    </row>
    <row r="17">
      <c r="A17" s="4" t="inlineStr">
        <is>
          <t>BR-016</t>
        </is>
      </c>
      <c r="B17" s="4" t="inlineStr">
        <is>
          <t>R→Z→F</t>
        </is>
      </c>
      <c r="C17" s="4" t="inlineStr">
        <is>
          <t>Statistical bridge</t>
        </is>
      </c>
      <c r="D17" s="4" t="inlineStr">
        <is>
          <t>Partition/free-energy chain</t>
        </is>
      </c>
      <c r="E17" s="4" t="inlineStr">
        <is>
          <t>DERIVED</t>
        </is>
      </c>
      <c r="F17" s="4" t="inlineStr">
        <is>
          <t>β=1/k_BT convention</t>
        </is>
      </c>
    </row>
    <row r="18">
      <c r="A18" s="4" t="inlineStr">
        <is>
          <t>BR-017</t>
        </is>
      </c>
      <c r="B18" s="4" t="inlineStr">
        <is>
          <t>L_N/h_N²→-Δ_g</t>
        </is>
      </c>
      <c r="C18" s="4" t="inlineStr">
        <is>
          <t>Discrete-to-continuum bridge</t>
        </is>
      </c>
      <c r="D18" s="4" t="inlineStr">
        <is>
          <t>Explicit periodic refinement family</t>
        </is>
      </c>
      <c r="E18" s="4" t="inlineStr">
        <is>
          <t>CLOSED FOR TEST FAMILY</t>
        </is>
      </c>
      <c r="F18" s="4" t="inlineStr">
        <is>
          <t>Not universal yet</t>
        </is>
      </c>
    </row>
    <row r="19">
      <c r="A19" s="4" t="inlineStr">
        <is>
          <t>BR-018</t>
        </is>
      </c>
      <c r="B19" s="4" t="inlineStr">
        <is>
          <t>K_N→K_g→d_g→g_ij</t>
        </is>
      </c>
      <c r="C19" s="4" t="inlineStr">
        <is>
          <t>Heat-kernel geometric bridge</t>
        </is>
      </c>
      <c r="D19" s="4" t="inlineStr">
        <is>
          <t>Joint scaling limit</t>
        </is>
      </c>
      <c r="E19" s="4" t="inlineStr">
        <is>
          <t>CONDITIONAL/DERIVED</t>
        </is>
      </c>
      <c r="F19" s="4" t="inlineStr">
        <is>
          <t>h_N²/t→0</t>
        </is>
      </c>
    </row>
    <row r="20">
      <c r="A20" s="4" t="inlineStr">
        <is>
          <t>BR-019</t>
        </is>
      </c>
      <c r="B20" s="4" t="inlineStr">
        <is>
          <t>L(a)→dotL</t>
        </is>
      </c>
      <c r="C20" s="4" t="inlineStr">
        <is>
          <t>Homogeneous scale evolution</t>
        </is>
      </c>
      <c r="D20" s="4" t="inlineStr">
        <is>
          <t>L(a)=a^-2L0</t>
        </is>
      </c>
      <c r="E20" s="4" t="inlineStr">
        <is>
          <t>DERIVED/CALCULATED</t>
        </is>
      </c>
      <c r="F20" s="4" t="inlineStr">
        <is>
          <t>Homogeneous branch</t>
        </is>
      </c>
    </row>
    <row r="21">
      <c r="A21" s="4" t="inlineStr">
        <is>
          <t>BR-020</t>
        </is>
      </c>
      <c r="B21" s="4" t="inlineStr">
        <is>
          <t>Spec(L)→DOS→ρ_vac</t>
        </is>
      </c>
      <c r="C21" s="4" t="inlineStr">
        <is>
          <t>Spectral vacuum bridge</t>
        </is>
      </c>
      <c r="D21" s="4" t="inlineStr">
        <is>
          <t>dν/dλ→ρ_vac</t>
        </is>
      </c>
      <c r="E21" s="4" t="inlineStr">
        <is>
          <t>DERIVED/CALCULATED</t>
        </is>
      </c>
      <c r="F21" s="4" t="inlineStr">
        <is>
          <t>3D continuum physical cutoff</t>
        </is>
      </c>
    </row>
    <row r="22">
      <c r="A22" s="4" t="inlineStr">
        <is>
          <t>BR-021</t>
        </is>
      </c>
      <c r="B22" s="4" t="inlineStr">
        <is>
          <t>Z_H→A_H</t>
        </is>
      </c>
      <c r="C22" s="4" t="inlineStr">
        <is>
          <t>Horizon heat-kernel area bridge</t>
        </is>
      </c>
      <c r="D22" s="4" t="inlineStr">
        <is>
          <t>A_H=4π lim tZ_H</t>
        </is>
      </c>
      <c r="E22" s="4" t="inlineStr">
        <is>
          <t>DERIVED/CALCULATED</t>
        </is>
      </c>
      <c r="F22" s="4" t="inlineStr">
        <is>
          <t>Given legitimate horizon subsystem</t>
        </is>
      </c>
    </row>
    <row r="23">
      <c r="A23" s="4" t="inlineStr">
        <is>
          <t>BR-022</t>
        </is>
      </c>
      <c r="B23" s="4" t="inlineStr">
        <is>
          <t>Z_H(ℓ_p²)→N_BH</t>
        </is>
      </c>
      <c r="C23" s="4" t="inlineStr">
        <is>
          <t>Spectral/BH normalization bridge</t>
        </is>
      </c>
      <c r="D23" s="4" t="inlineStr">
        <is>
          <t>N_BH=πZ_H(ℓ_p²)</t>
        </is>
      </c>
      <c r="E23" s="4" t="inlineStr">
        <is>
          <t>ALGEBRAIC CONDITION</t>
        </is>
      </c>
      <c r="F23" s="4" t="inlineStr">
        <is>
          <t>π origin not derived</t>
        </is>
      </c>
    </row>
    <row r="24">
      <c r="A24" s="4" t="inlineStr">
        <is>
          <t>BR-023</t>
        </is>
      </c>
      <c r="B24" s="4" t="inlineStr">
        <is>
          <t>N_H→Ξ</t>
        </is>
      </c>
      <c r="C24" s="4" t="inlineStr">
        <is>
          <t>Information-to-cutoff bridge</t>
        </is>
      </c>
      <c r="D24" s="4" t="inlineStr">
        <is>
          <t>Ξ=6^(1/4)π^(1/2)N_H^-1/4</t>
        </is>
      </c>
      <c r="E24" s="4" t="inlineStr">
        <is>
          <t>CONDITIONAL DOWNSTREAM</t>
        </is>
      </c>
      <c r="F24" s="4" t="inlineStr">
        <is>
          <t>Requires non-circular N_H</t>
        </is>
      </c>
    </row>
    <row r="25">
      <c r="A25" s="4" t="inlineStr">
        <is>
          <t>BR-024</t>
        </is>
      </c>
      <c r="B25" s="4" t="inlineStr">
        <is>
          <t>Ξ→Λ_*→ρ_vac</t>
        </is>
      </c>
      <c r="C25" s="4" t="inlineStr">
        <is>
          <t>Cutoff to vacuum bridge</t>
        </is>
      </c>
      <c r="D25" s="4" t="inlineStr">
        <is>
          <t>Λ_*=Ξ/ℓ_p; ρ_vac=...</t>
        </is>
      </c>
      <c r="E25" s="4" t="inlineStr">
        <is>
          <t>DERIVED GIVEN Ξ</t>
        </is>
      </c>
      <c r="F25" s="4" t="inlineStr">
        <is>
          <t>Scale anchor remains upstream</t>
        </is>
      </c>
    </row>
    <row r="26">
      <c r="A26" s="4" t="inlineStr">
        <is>
          <t>BR-025</t>
        </is>
      </c>
      <c r="B26" s="4" t="inlineStr">
        <is>
          <t>ρ_vac→Λ_cosm→H→a</t>
        </is>
      </c>
      <c r="C26" s="4" t="inlineStr">
        <is>
          <t>Cosmological dynamics bridge</t>
        </is>
      </c>
      <c r="D26" s="4" t="inlineStr">
        <is>
          <t>Friedmann/de Sitter</t>
        </is>
      </c>
      <c r="E26" s="4" t="inlineStr">
        <is>
          <t>DOWNSTREAM CLOSED GIVEN INPUT</t>
        </is>
      </c>
      <c r="F26" s="4" t="inlineStr">
        <is>
          <t>Vacuum branch</t>
        </is>
      </c>
    </row>
  </sheetData>
  <autoFilter ref="A1:F26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75" customWidth="1" min="2" max="2"/>
    <col width="28" customWidth="1" min="3" max="3"/>
    <col width="65" customWidth="1" min="4" max="4"/>
  </cols>
  <sheetData>
    <row r="1">
      <c r="A1" s="3" t="inlineStr">
        <is>
          <t>Result</t>
        </is>
      </c>
      <c r="B1" s="3" t="inlineStr">
        <is>
          <t>Equation / Identity</t>
        </is>
      </c>
      <c r="C1" s="3" t="inlineStr">
        <is>
          <t>Status</t>
        </is>
      </c>
      <c r="D1" s="3" t="inlineStr">
        <is>
          <t>Scope / Notes</t>
        </is>
      </c>
    </row>
    <row r="2">
      <c r="A2" s="4" t="inlineStr">
        <is>
          <t>Spectral evolution</t>
        </is>
      </c>
      <c r="B2" s="4" t="inlineStr">
        <is>
          <t>R(t)=e^{-tL}; R(t)φ_n=e^{-tλ_n}φ_n</t>
        </is>
      </c>
      <c r="C2" s="4" t="inlineStr">
        <is>
          <t>DERIVED</t>
        </is>
      </c>
      <c r="D2" s="4" t="inlineStr">
        <is>
          <t>PSD L</t>
        </is>
      </c>
    </row>
    <row r="3">
      <c r="A3" s="4" t="inlineStr">
        <is>
          <t>Persistent sector</t>
        </is>
      </c>
      <c r="B3" s="4" t="inlineStr">
        <is>
          <t>lim_{t→∞}e^{-tL}=P_kerL; Π∞=ker L</t>
        </is>
      </c>
      <c r="C3" s="4" t="inlineStr">
        <is>
          <t>DERIVED</t>
        </is>
      </c>
      <c r="D3" s="4" t="inlineStr">
        <is>
          <t>Finite PSD graph</t>
        </is>
      </c>
    </row>
    <row r="4">
      <c r="A4" s="4" t="inlineStr">
        <is>
          <t>Connected nullity</t>
        </is>
      </c>
      <c r="B4" s="4" t="inlineStr">
        <is>
          <t>dim ker L=1 for connected graph</t>
        </is>
      </c>
      <c r="C4" s="4" t="inlineStr">
        <is>
          <t>DERIVED</t>
        </is>
      </c>
      <c r="D4" s="4" t="inlineStr">
        <is>
          <t>Standard graph Laplacian</t>
        </is>
      </c>
    </row>
    <row r="5">
      <c r="A5" s="4" t="inlineStr">
        <is>
          <t>General nullity</t>
        </is>
      </c>
      <c r="B5" s="4" t="inlineStr">
        <is>
          <t>dim ker L=c</t>
        </is>
      </c>
      <c r="C5" s="4" t="inlineStr">
        <is>
          <t>DERIVED</t>
        </is>
      </c>
      <c r="D5" s="4" t="inlineStr">
        <is>
          <t>c connected components</t>
        </is>
      </c>
    </row>
    <row r="6">
      <c r="A6" s="4" t="inlineStr">
        <is>
          <t>Rank</t>
        </is>
      </c>
      <c r="B6" s="4" t="inlineStr">
        <is>
          <t>rank L=N-c</t>
        </is>
      </c>
      <c r="C6" s="4" t="inlineStr">
        <is>
          <t>DERIVED</t>
        </is>
      </c>
      <c r="D6" s="4" t="inlineStr">
        <is>
          <t>Immediate from rank-nullity</t>
        </is>
      </c>
    </row>
    <row r="7">
      <c r="A7" s="4" t="inlineStr">
        <is>
          <t>Bulk candidate</t>
        </is>
      </c>
      <c r="B7" s="4" t="inlineStr">
        <is>
          <t>N_bulk=Tr(I-P_kerL)=rank L</t>
        </is>
      </c>
      <c r="C7" s="4" t="inlineStr">
        <is>
          <t>DERIVED</t>
        </is>
      </c>
      <c r="D7" s="4" t="inlineStr">
        <is>
          <t>No cutoff required</t>
        </is>
      </c>
    </row>
    <row r="8">
      <c r="A8" s="4" t="inlineStr">
        <is>
          <t>Sharp-cutoff criterion</t>
        </is>
      </c>
      <c r="B8" s="4" t="inlineStr">
        <is>
          <t>N_cut=rank L iff m_max=c</t>
        </is>
      </c>
      <c r="C8" s="4" t="inlineStr">
        <is>
          <t>DERIVED</t>
        </is>
      </c>
      <c r="D8" s="4" t="inlineStr">
        <is>
          <t>For scalar sharp cutoff</t>
        </is>
      </c>
    </row>
    <row r="9">
      <c r="A9" s="4" t="inlineStr">
        <is>
          <t>Scale rescaling</t>
        </is>
      </c>
      <c r="B9" s="4" t="inlineStr">
        <is>
          <t>L_H→s^-2L_H; λ_i→s^-2λ_i</t>
        </is>
      </c>
      <c r="C9" s="4" t="inlineStr">
        <is>
          <t>DERIVED</t>
        </is>
      </c>
      <c r="D9" s="4" t="inlineStr">
        <is>
          <t>Spectral scale transformation</t>
        </is>
      </c>
    </row>
    <row r="10">
      <c r="A10" s="4" t="inlineStr">
        <is>
          <t>Scale-free invariants</t>
        </is>
      </c>
      <c r="B10" s="4" t="inlineStr">
        <is>
          <t>F(λ_i/λ_j,...) invariant under L_H rescaling</t>
        </is>
      </c>
      <c r="C10" s="4" t="inlineStr">
        <is>
          <t>DERIVED</t>
        </is>
      </c>
      <c r="D10" s="4" t="inlineStr">
        <is>
          <t>Cannot select absolute length</t>
        </is>
      </c>
    </row>
    <row r="11">
      <c r="A11" s="4" t="inlineStr">
        <is>
          <t>Absolute scale transformation</t>
        </is>
      </c>
      <c r="B11" s="4" t="inlineStr">
        <is>
          <t>ℓ_*→sℓ_* under physical length rescaling</t>
        </is>
      </c>
      <c r="C11" s="4" t="inlineStr">
        <is>
          <t>DERIVED</t>
        </is>
      </c>
      <c r="D11" s="4" t="inlineStr">
        <is>
          <t>Scale-selection no-go</t>
        </is>
      </c>
    </row>
    <row r="12">
      <c r="A12" s="4" t="inlineStr">
        <is>
          <t>Periodic lattice eigenvalues</t>
        </is>
      </c>
      <c r="B12" s="4" t="inlineStr">
        <is>
          <t>λ_N(p)=4h_N^-2 Σ sin²(h_Np_μ/2)</t>
        </is>
      </c>
      <c r="C12" s="4" t="inlineStr">
        <is>
          <t>DERIVED</t>
        </is>
      </c>
      <c r="D12" s="4" t="inlineStr">
        <is>
          <t>Explicit periodic lattice</t>
        </is>
      </c>
    </row>
    <row r="13">
      <c r="A13" s="4" t="inlineStr">
        <is>
          <t>Continuum expansion</t>
        </is>
      </c>
      <c r="B13" s="4" t="inlineStr">
        <is>
          <t>λ_N(p)=|p|²+O(h_N²)</t>
        </is>
      </c>
      <c r="C13" s="4" t="inlineStr">
        <is>
          <t>DERIVED</t>
        </is>
      </c>
      <c r="D13" s="4" t="inlineStr">
        <is>
          <t>h_N→0</t>
        </is>
      </c>
    </row>
    <row r="14">
      <c r="A14" s="4" t="inlineStr">
        <is>
          <t>Spatial metric</t>
        </is>
      </c>
      <c r="B14" s="4" t="inlineStr">
        <is>
          <t>g_ij=δ_ij</t>
        </is>
      </c>
      <c r="C14" s="4" t="inlineStr">
        <is>
          <t>CALCULATED</t>
        </is>
      </c>
      <c r="D14" s="4" t="inlineStr">
        <is>
          <t>Flat toroidal test family</t>
        </is>
      </c>
    </row>
    <row r="15">
      <c r="A15" s="4" t="inlineStr">
        <is>
          <t>Homogeneous scaling</t>
        </is>
      </c>
      <c r="B15" s="4" t="inlineStr">
        <is>
          <t>L(a)=a^-2L_0</t>
        </is>
      </c>
      <c r="C15" s="4" t="inlineStr">
        <is>
          <t>DERIVED</t>
        </is>
      </c>
      <c r="D15" s="4" t="inlineStr">
        <is>
          <t>B6 homogeneous rescaling</t>
        </is>
      </c>
    </row>
    <row r="16">
      <c r="A16" s="4" t="inlineStr">
        <is>
          <t>Operator flow</t>
        </is>
      </c>
      <c r="B16" s="4" t="inlineStr">
        <is>
          <t>dotL=-2HL</t>
        </is>
      </c>
      <c r="C16" s="4" t="inlineStr">
        <is>
          <t>DERIVED</t>
        </is>
      </c>
      <c r="D16" s="4" t="inlineStr">
        <is>
          <t>Homogeneous scaling</t>
        </is>
      </c>
    </row>
    <row r="17">
      <c r="A17" s="4" t="inlineStr">
        <is>
          <t>Eigenvalue flow</t>
        </is>
      </c>
      <c r="B17" s="4" t="inlineStr">
        <is>
          <t>dotλ_n=-2Hλ_n</t>
        </is>
      </c>
      <c r="C17" s="4" t="inlineStr">
        <is>
          <t>DERIVED</t>
        </is>
      </c>
      <c r="D17" s="4" t="inlineStr">
        <is>
          <t>Degenerate sectors unsplit in this scaling</t>
        </is>
      </c>
    </row>
    <row r="18">
      <c r="A18" s="4" t="inlineStr">
        <is>
          <t>Fixed comoving spectral set</t>
        </is>
      </c>
      <c r="B18" s="4" t="inlineStr">
        <is>
          <t>E_spec∝a^-1; ρ∝a^-4</t>
        </is>
      </c>
      <c r="C18" s="4" t="inlineStr">
        <is>
          <t>DERIVED</t>
        </is>
      </c>
      <c r="D18" s="4" t="inlineStr">
        <is>
          <t>With V_phys∝a³</t>
        </is>
      </c>
    </row>
    <row r="19">
      <c r="A19" s="4" t="inlineStr">
        <is>
          <t>Fixed physical cutoff continuum</t>
        </is>
      </c>
      <c r="B19" s="4" t="inlineStr">
        <is>
          <t>E_spec∝a³; ρ∝a⁰</t>
        </is>
      </c>
      <c r="C19" s="4" t="inlineStr">
        <is>
          <t>DERIVED SCALING</t>
        </is>
      </c>
      <c r="D19" s="4" t="inlineStr">
        <is>
          <t>Continuum density of states</t>
        </is>
      </c>
    </row>
    <row r="20">
      <c r="A20" s="4" t="inlineStr">
        <is>
          <t>3D DOS</t>
        </is>
      </c>
      <c r="B20" s="4" t="inlineStr">
        <is>
          <t>dν/dλ=√λ/(4π²)</t>
        </is>
      </c>
      <c r="C20" s="4" t="inlineStr">
        <is>
          <t>DERIVED</t>
        </is>
      </c>
      <c r="D20" s="4" t="inlineStr">
        <is>
          <t>Flat 3D continuum</t>
        </is>
      </c>
    </row>
    <row r="21">
      <c r="A21" s="4" t="inlineStr">
        <is>
          <t>Vacuum density</t>
        </is>
      </c>
      <c r="B21" s="4" t="inlineStr">
        <is>
          <t>ρ_vac=ħcΛ_*⁴/(16π²)</t>
        </is>
      </c>
      <c r="C21" s="4" t="inlineStr">
        <is>
          <t>DERIVED</t>
        </is>
      </c>
      <c r="D21" s="4" t="inlineStr">
        <is>
          <t>Physical cutoff prescription</t>
        </is>
      </c>
    </row>
    <row r="22">
      <c r="A22" s="4" t="inlineStr">
        <is>
          <t>Cosmological constant</t>
        </is>
      </c>
      <c r="B22" s="4" t="inlineStr">
        <is>
          <t>Λ_cosm=ℓ_p²Λ_*⁴/(2π)</t>
        </is>
      </c>
      <c r="C22" s="4" t="inlineStr">
        <is>
          <t>DERIVED</t>
        </is>
      </c>
      <c r="D22" s="4" t="inlineStr">
        <is>
          <t>Using ℓ_p²=ħG/c³</t>
        </is>
      </c>
    </row>
    <row r="23">
      <c r="A23" s="4" t="inlineStr">
        <is>
          <t>Dimensionless cutoff</t>
        </is>
      </c>
      <c r="B23" s="4" t="inlineStr">
        <is>
          <t>Xi=Λ_*ℓ_p</t>
        </is>
      </c>
      <c r="C23" s="4" t="inlineStr">
        <is>
          <t>DEFINED</t>
        </is>
      </c>
      <c r="D23" s="4" t="inlineStr">
        <is>
          <t>Dimensionless</t>
        </is>
      </c>
    </row>
    <row r="24">
      <c r="A24" s="4" t="inlineStr">
        <is>
          <t>Xi relation</t>
        </is>
      </c>
      <c r="B24" s="4" t="inlineStr">
        <is>
          <t>Λ_cosm=Xi⁴/(2πℓ_p²)</t>
        </is>
      </c>
      <c r="C24" s="4" t="inlineStr">
        <is>
          <t>DERIVED</t>
        </is>
      </c>
      <c r="D24" s="4" t="inlineStr">
        <is>
          <t>Downstream identity</t>
        </is>
      </c>
    </row>
    <row r="25">
      <c r="A25" s="4" t="inlineStr">
        <is>
          <t>Horizon area heat trace</t>
        </is>
      </c>
      <c r="B25" s="4" t="inlineStr">
        <is>
          <t>A_H=4π lim tZ_H(t)</t>
        </is>
      </c>
      <c r="C25" s="4" t="inlineStr">
        <is>
          <t>DERIVED</t>
        </is>
      </c>
      <c r="D25" s="4" t="inlineStr">
        <is>
          <t>2D continuum heat-kernel regime</t>
        </is>
      </c>
    </row>
    <row r="26">
      <c r="A26" s="4" t="inlineStr">
        <is>
          <t>Weyl area law coefficient</t>
        </is>
      </c>
      <c r="B26" s="4" t="inlineStr">
        <is>
          <t>N(Λ)~A_HΛ²/(4π)</t>
        </is>
      </c>
      <c r="C26" s="4" t="inlineStr">
        <is>
          <t>DERIVED</t>
        </is>
      </c>
      <c r="D26" s="4" t="inlineStr">
        <is>
          <t>2D Weyl asymptotic</t>
        </is>
      </c>
    </row>
    <row r="27">
      <c r="A27" s="4" t="inlineStr">
        <is>
          <t>Spectral/BH ratio</t>
        </is>
      </c>
      <c r="B27" s="4" t="inlineStr">
        <is>
          <t>N_BH=π Z_H(ℓ_p²)</t>
        </is>
      </c>
      <c r="C27" s="4" t="inlineStr">
        <is>
          <t>DERIVED CONDITION</t>
        </is>
      </c>
      <c r="D27" s="4" t="inlineStr">
        <is>
          <t>If t*=ℓ_p²</t>
        </is>
      </c>
    </row>
    <row r="28">
      <c r="A28" s="4" t="inlineStr">
        <is>
          <t>Information normalization condition</t>
        </is>
      </c>
      <c r="B28" s="4" t="inlineStr">
        <is>
          <t>C_H/α=π for t*=αℓ_p²</t>
        </is>
      </c>
      <c r="C28" s="4" t="inlineStr">
        <is>
          <t>ALGEBRAICALLY DERIVED</t>
        </is>
      </c>
      <c r="D28" s="4" t="inlineStr">
        <is>
          <t>Not a UOC theorem yet</t>
        </is>
      </c>
    </row>
    <row r="29">
      <c r="A29" s="4" t="inlineStr">
        <is>
          <t>Conditional Xi-count relation</t>
        </is>
      </c>
      <c r="B29" s="4" t="inlineStr">
        <is>
          <t>Xi=6^(1/4)π^(1/2)N_H^-1/4</t>
        </is>
      </c>
      <c r="C29" s="4" t="inlineStr">
        <is>
          <t>DERIVED</t>
        </is>
      </c>
      <c r="D29" s="4" t="inlineStr">
        <is>
          <t>Conditional horizon-information branch</t>
        </is>
      </c>
    </row>
    <row r="30">
      <c r="A30" s="4" t="inlineStr">
        <is>
          <t>Friedmann vacuum</t>
        </is>
      </c>
      <c r="B30" s="4" t="inlineStr">
        <is>
          <t>H²=8πGρ_vac/3</t>
        </is>
      </c>
      <c r="C30" s="4" t="inlineStr">
        <is>
          <t>DERIVED/ADMITTED</t>
        </is>
      </c>
      <c r="D30" s="4" t="inlineStr">
        <is>
          <t>k=0 vacuum EH branch</t>
        </is>
      </c>
    </row>
    <row r="31">
      <c r="A31" s="4" t="inlineStr">
        <is>
          <t>Scale-factor solution</t>
        </is>
      </c>
      <c r="B31" s="4" t="inlineStr">
        <is>
          <t>a(t)=a0 exp(∫Hdt)</t>
        </is>
      </c>
      <c r="C31" s="4" t="inlineStr">
        <is>
          <t>DERIVED</t>
        </is>
      </c>
      <c r="D31" s="4" t="inlineStr">
        <is>
          <t>Expanding vacuum branch</t>
        </is>
      </c>
    </row>
    <row r="32">
      <c r="A32" s="4" t="inlineStr">
        <is>
          <t>Constant vacuum</t>
        </is>
      </c>
      <c r="B32" s="4" t="inlineStr">
        <is>
          <t>ρ_vac=const→a∝e^{Ht}</t>
        </is>
      </c>
      <c r="C32" s="4" t="inlineStr">
        <is>
          <t>DERIVED</t>
        </is>
      </c>
      <c r="D32" s="4" t="inlineStr">
        <is>
          <t>de Sitter branch</t>
        </is>
      </c>
    </row>
    <row r="33">
      <c r="A33" s="4" t="inlineStr">
        <is>
          <t>Curvature-scale diagnostic</t>
        </is>
      </c>
      <c r="B33" s="4" t="inlineStr">
        <is>
          <t>ℓ_*~|R|^-1/2→H~ℓ_p^-1</t>
        </is>
      </c>
      <c r="C33" s="4" t="inlineStr">
        <is>
          <t>NO-GO DIAGNOSTIC</t>
        </is>
      </c>
      <c r="D33" s="4" t="inlineStr">
        <is>
          <t>Observed cosmological scale not reproduced</t>
        </is>
      </c>
    </row>
    <row r="34">
      <c r="A34" s="4" t="inlineStr">
        <is>
          <t>Gap-scale diagnostic</t>
        </is>
      </c>
      <c r="B34" s="4" t="inlineStr">
        <is>
          <t>ℓ_*=λ_1^-1/2→Z_H(λ_1^-1)=O(1)/geometry-scale</t>
        </is>
      </c>
      <c r="C34" s="4" t="inlineStr">
        <is>
          <t>NO-GO DIAGNOSTIC</t>
        </is>
      </c>
      <c r="D34" s="4" t="inlineStr">
        <is>
          <t>Not 10^122 information scale</t>
        </is>
      </c>
    </row>
    <row r="35">
      <c r="A35" s="4" t="inlineStr">
        <is>
          <t>UV scale</t>
        </is>
      </c>
      <c r="B35" s="4" t="inlineStr">
        <is>
          <t>ℓ_*=λ_max^-1/2→0</t>
        </is>
      </c>
      <c r="C35" s="4" t="inlineStr">
        <is>
          <t>DERIVED</t>
        </is>
      </c>
      <c r="D35" s="4" t="inlineStr">
        <is>
          <t>Refinement limit</t>
        </is>
      </c>
    </row>
    <row r="36">
      <c r="A36" s="4" t="inlineStr">
        <is>
          <t>Persistence threshold</t>
        </is>
      </c>
      <c r="B36" s="4" t="inlineStr">
        <is>
          <t>e^{-tλ_c}=ε→λ_c=(-ln ε)/t</t>
        </is>
      </c>
      <c r="C36" s="4" t="inlineStr">
        <is>
          <t>DERIVED</t>
        </is>
      </c>
      <c r="D36" s="4" t="inlineStr">
        <is>
          <t>ε remains a selector unless derived</t>
        </is>
      </c>
    </row>
    <row r="37">
      <c r="A37" s="4" t="inlineStr">
        <is>
          <t>Observed target</t>
        </is>
      </c>
      <c r="B37" s="4" t="inlineStr">
        <is>
          <t>Xi_obs≈6.50×10^-31</t>
        </is>
      </c>
      <c r="C37" s="4" t="inlineStr">
        <is>
          <t>OBSERVATIONAL TARGET</t>
        </is>
      </c>
      <c r="D37" s="4" t="inlineStr">
        <is>
          <t>Not an upstream input</t>
        </is>
      </c>
    </row>
  </sheetData>
  <autoFilter ref="A1:D37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5" customWidth="1" min="2" max="2"/>
    <col width="32" customWidth="1" min="3" max="3"/>
    <col width="58" customWidth="1" min="4" max="4"/>
    <col width="52" customWidth="1" min="5" max="5"/>
    <col width="65" customWidth="1" min="6" max="6"/>
  </cols>
  <sheetData>
    <row r="1">
      <c r="A1" s="3" t="inlineStr">
        <is>
          <t>Chain / Test</t>
        </is>
      </c>
      <c r="B1" s="3" t="inlineStr">
        <is>
          <t>Result</t>
        </is>
      </c>
      <c r="C1" s="3" t="inlineStr">
        <is>
          <t>Status</t>
        </is>
      </c>
      <c r="D1" s="3" t="inlineStr">
        <is>
          <t>Scope / Assumptions</t>
        </is>
      </c>
      <c r="E1" s="3" t="inlineStr">
        <is>
          <t>Dependency Boundary</t>
        </is>
      </c>
      <c r="F1" s="3" t="inlineStr">
        <is>
          <t>Numerical Value / Diagnostic</t>
        </is>
      </c>
    </row>
    <row r="2">
      <c r="A2" s="4" t="inlineStr">
        <is>
          <t>COSMO-BRIDGE-003</t>
        </is>
      </c>
      <c r="B2" s="4" t="inlineStr">
        <is>
          <t>rank(L)=N-c; sharp scalar cutoff equals rank only iff m_max=c</t>
        </is>
      </c>
      <c r="C2" s="4" t="inlineStr">
        <is>
          <t>DERIVED/CALCULATED</t>
        </is>
      </c>
      <c r="D2" s="4" t="inlineStr">
        <is>
          <t>Finite graph Laplacian; c connected components</t>
        </is>
      </c>
      <c r="E2" s="4" t="inlineStr">
        <is>
          <t>Cutoff representation is not universal</t>
        </is>
      </c>
      <c r="F2" s="4" t="inlineStr">
        <is>
          <t>K4 counterexample: Spec={0,4,4,4}, rank=3 but scalar cutoff gives 1 or 4</t>
        </is>
      </c>
    </row>
    <row r="3">
      <c r="A3" s="4" t="inlineStr">
        <is>
          <t>COSMO-BRIDGE-004</t>
        </is>
      </c>
      <c r="B3" s="4" t="inlineStr">
        <is>
          <t>N_bulk=Tr(I-P_kerL)=rank(L)=N-c</t>
        </is>
      </c>
      <c r="C3" s="4" t="inlineStr">
        <is>
          <t>DERIVED/CALCULATED</t>
        </is>
      </c>
      <c r="D3" s="4" t="inlineStr">
        <is>
          <t>PSD graph Laplacian</t>
        </is>
      </c>
      <c r="E3" s="4" t="inlineStr">
        <is>
          <t>Does not derive horizon area</t>
        </is>
      </c>
      <c r="F3" s="4" t="inlineStr">
        <is>
          <t>K3,3: N_bulk=5</t>
        </is>
      </c>
    </row>
    <row r="4">
      <c r="A4" s="4" t="inlineStr">
        <is>
          <t>COSMO-BRIDGE-005</t>
        </is>
      </c>
      <c r="B4" s="4" t="inlineStr">
        <is>
          <t>full nonzero diffusion embedding has dimension rank(L)</t>
        </is>
      </c>
      <c r="C4" s="4" t="inlineStr">
        <is>
          <t>DERIVED/CALCULATED</t>
        </is>
      </c>
      <c r="D4" s="4" t="inlineStr">
        <is>
          <t>t&gt;0 and all nonzero spectral modes retained</t>
        </is>
      </c>
      <c r="E4" s="4" t="inlineStr">
        <is>
          <t>Embedding dimension is not an area law</t>
        </is>
      </c>
      <c r="F4" s="4" t="inlineStr">
        <is>
          <t>K3,3: d_spectral=5</t>
        </is>
      </c>
    </row>
    <row r="5">
      <c r="A5" s="4" t="inlineStr">
        <is>
          <t>COSMO-BRIDGE-006-1</t>
        </is>
      </c>
      <c r="B5" s="4" t="inlineStr">
        <is>
          <t>L_N/h_N²→-Δ_T^d; λ_N(p)=|p|²+O(h_N²)</t>
        </is>
      </c>
      <c r="C5" s="4" t="inlineStr">
        <is>
          <t>CLOSED FOR TEST FAMILY</t>
        </is>
      </c>
      <c r="D5" s="4" t="inlineStr">
        <is>
          <t>Periodic lattice refinement</t>
        </is>
      </c>
      <c r="E5" s="4" t="inlineStr">
        <is>
          <t>Spatial continuum only</t>
        </is>
      </c>
      <c r="F5" s="4" t="inlineStr">
        <is>
          <t>g_ij=δ_ij</t>
        </is>
      </c>
    </row>
    <row r="6">
      <c r="A6" s="4" t="inlineStr">
        <is>
          <t>COSMO-BRIDGE-006-2</t>
        </is>
      </c>
      <c r="B6" s="4" t="inlineStr">
        <is>
          <t>K_N→K_g→d_g→g_ij under joint heat-kernel scaling</t>
        </is>
      </c>
      <c r="C6" s="4" t="inlineStr">
        <is>
          <t>CONDITIONAL/DERIVED</t>
        </is>
      </c>
      <c r="D6" s="4" t="inlineStr">
        <is>
          <t>N→∞, h_N→0, t→0; h_N²/t→0</t>
        </is>
      </c>
      <c r="E6" s="4" t="inlineStr">
        <is>
          <t>Does not generate a(t)</t>
        </is>
      </c>
      <c r="F6" s="4" t="inlineStr">
        <is>
          <t>Flat torus test gives Euclidean spatial metric</t>
        </is>
      </c>
    </row>
    <row r="7">
      <c r="A7" s="4" t="inlineStr">
        <is>
          <t>COSMO-DYN-001</t>
        </is>
      </c>
      <c r="B7" s="4" t="inlineStr">
        <is>
          <t>H²=Λ/3=8πGρ_vac/3; a(t)=a0 exp(∫Hdt)</t>
        </is>
      </c>
      <c r="C7" s="4" t="inlineStr">
        <is>
          <t>DERIVED/ADMITTED</t>
        </is>
      </c>
      <c r="D7" s="4" t="inlineStr">
        <is>
          <t>Vacuum Einstein-Hilbert, k=0</t>
        </is>
      </c>
      <c r="E7" s="4" t="inlineStr">
        <is>
          <t>Requires ρ_vac(t) input</t>
        </is>
      </c>
      <c r="F7" s="4" t="inlineStr">
        <is>
          <t>Constant ρ_vac→de Sitter</t>
        </is>
      </c>
    </row>
    <row r="8">
      <c r="A8" s="4" t="inlineStr">
        <is>
          <t>COSMO-DYN-002</t>
        </is>
      </c>
      <c r="B8" s="4" t="inlineStr">
        <is>
          <t>L(a)=a^-2 L0; dotL=-2HL; dotλ_n=-2Hλ_n</t>
        </is>
      </c>
      <c r="C8" s="4" t="inlineStr">
        <is>
          <t>DERIVED/CALCULATED</t>
        </is>
      </c>
      <c r="D8" s="4" t="inlineStr">
        <is>
          <t>Homogeneous lattice rescaling; degenerate sectors remain unsplit</t>
        </is>
      </c>
      <c r="E8" s="4" t="inlineStr">
        <is>
          <t>Does not derive H</t>
        </is>
      </c>
      <c r="F8" s="4" t="inlineStr">
        <is>
          <t>Exact scaling relation</t>
        </is>
      </c>
    </row>
    <row r="9">
      <c r="A9" s="4" t="inlineStr">
        <is>
          <t>COSMO-DYN-002-NORM</t>
        </is>
      </c>
      <c r="B9" s="4" t="inlineStr">
        <is>
          <t>Fixed comoving modes: E_spec∝a^-1, ρ∝a^-4; fixed physical cutoff continuum: E_spec∝a³, ρ∝a⁰</t>
        </is>
      </c>
      <c r="C9" s="4" t="inlineStr">
        <is>
          <t>DERIVED/CALCULATED</t>
        </is>
      </c>
      <c r="D9" s="4" t="inlineStr">
        <is>
          <t>Measure/cutoff/continuum prescription separated</t>
        </is>
      </c>
      <c r="E9" s="4" t="inlineStr">
        <is>
          <t>Cutoff choice remains upstream</t>
        </is>
      </c>
      <c r="F9" s="4" t="inlineStr">
        <is>
          <t>Radiation-like vs constant-density branches</t>
        </is>
      </c>
    </row>
    <row r="10">
      <c r="A10" s="4" t="inlineStr">
        <is>
          <t>COSMO-DYN-005</t>
        </is>
      </c>
      <c r="B10" s="4" t="inlineStr">
        <is>
          <t>dν/dλ=√λ/(4π²); ρ_vac=ħcΛ_*⁴/(16π²)</t>
        </is>
      </c>
      <c r="C10" s="4" t="inlineStr">
        <is>
          <t>DERIVED/CALCULATED</t>
        </is>
      </c>
      <c r="D10" s="4" t="inlineStr">
        <is>
          <t>3D continuum density of states; physical cutoff</t>
        </is>
      </c>
      <c r="E10" s="4" t="inlineStr">
        <is>
          <t>Λ_* remains to be selected</t>
        </is>
      </c>
      <c r="F10" s="4" t="inlineStr">
        <is>
          <t>Λ_*≈4.02×10^4 m^-1; ħcΛ_*≈7.9 meV</t>
        </is>
      </c>
    </row>
    <row r="11">
      <c r="A11" s="4" t="inlineStr">
        <is>
          <t>COSMO-DYN-005-CORRECTION</t>
        </is>
      </c>
      <c r="B11" s="4" t="inlineStr">
        <is>
          <t>Xi=Λ_*ℓ_p≈6.50×10^-31; fourth power supplies ~10^-121 hierarchy</t>
        </is>
      </c>
      <c r="C11" s="4" t="inlineStr">
        <is>
          <t>CALCULATED TARGET</t>
        </is>
      </c>
      <c r="D11" s="4" t="inlineStr">
        <is>
          <t>ℓ_p≈1.616×10^-35 m</t>
        </is>
      </c>
      <c r="E11" s="4" t="inlineStr">
        <is>
          <t>Observational target only</t>
        </is>
      </c>
      <c r="F11" s="4" t="inlineStr">
        <is>
          <t>Corrected from erroneous 10^-13 ledger entry</t>
        </is>
      </c>
    </row>
    <row r="12">
      <c r="A12" s="4" t="inlineStr">
        <is>
          <t>COSMO-DYN-007</t>
        </is>
      </c>
      <c r="B12" s="4" t="inlineStr">
        <is>
          <t>A_H=4π lim tZ_H(t); joint window h_N²≪t≪L_H²</t>
        </is>
      </c>
      <c r="C12" s="4" t="inlineStr">
        <is>
          <t>DERIVED/CALCULATED</t>
        </is>
      </c>
      <c r="D12" s="4" t="inlineStr">
        <is>
          <t>Explicit refinement family, 2D heat-kernel regime</t>
        </is>
      </c>
      <c r="E12" s="4" t="inlineStr">
        <is>
          <t>Requires legitimate P_H/horizon subsystem</t>
        </is>
      </c>
      <c r="F12" s="4" t="inlineStr">
        <is>
          <t>Spectral area coefficient recovered</t>
        </is>
      </c>
    </row>
    <row r="13">
      <c r="A13" s="4" t="inlineStr">
        <is>
          <t>COSMO-DYN-007A</t>
        </is>
      </c>
      <c r="B13" s="4" t="inlineStr">
        <is>
          <t>Z_H(ℓ_p²)≈A_H/(4πℓ_p²); N_BH=π Z_H(ℓ_p²)</t>
        </is>
      </c>
      <c r="C13" s="4" t="inlineStr">
        <is>
          <t>ALGEBRAICALLY DERIVED CONDITION</t>
        </is>
      </c>
      <c r="D13" s="4" t="inlineStr">
        <is>
          <t>t*=αℓ_p² gives C_H/α=π for agreement</t>
        </is>
      </c>
      <c r="E13" s="4" t="inlineStr">
        <is>
          <t>Does not derive π or t*=ℓ_p²</t>
        </is>
      </c>
      <c r="F13" s="4" t="inlineStr">
        <is>
          <t>Normalization discrepancy is exact</t>
        </is>
      </c>
    </row>
    <row r="14">
      <c r="A14" s="4" t="inlineStr">
        <is>
          <t>COSMO-DYN-010</t>
        </is>
      </c>
      <c r="B14" s="4" t="inlineStr">
        <is>
          <t>Scale-nonuniqueness: L_H→s^-2L_H leaves λ ratios and scale-free spectral invariants unchanged; ℓ_*→sℓ_*</t>
        </is>
      </c>
      <c r="C14" s="4" t="inlineStr">
        <is>
          <t>DERIVED/CONSTRUCTIVE</t>
        </is>
      </c>
      <c r="D14" s="4" t="inlineStr">
        <is>
          <t>Scale-free spectral data</t>
        </is>
      </c>
      <c r="E14" s="4" t="inlineStr">
        <is>
          <t>Requires external dimensional anchor for absolute length</t>
        </is>
      </c>
      <c r="F14" s="4" t="inlineStr">
        <is>
          <t>Reusable UOC scale no-go</t>
        </is>
      </c>
    </row>
    <row r="15">
      <c r="A15" s="4" t="inlineStr">
        <is>
          <t>COSMO-DYN-010A-4</t>
        </is>
      </c>
      <c r="B15" s="4" t="inlineStr">
        <is>
          <t>Planck scale candidate ℓ_*=ℓ_p; t_*=ℓ_p²; N_spec=Z_H(ℓ_p²)</t>
        </is>
      </c>
      <c r="C15" s="4" t="inlineStr">
        <is>
          <t>CONDITIONAL</t>
        </is>
      </c>
      <c r="D15" s="4" t="inlineStr">
        <is>
          <t>Planck scale admitted externally</t>
        </is>
      </c>
      <c r="E15" s="4" t="inlineStr">
        <is>
          <t>UOC origin of ℓ_p unresolved</t>
        </is>
      </c>
      <c r="F15" s="4" t="inlineStr">
        <is>
          <t>N_BH/N_spec=π</t>
        </is>
      </c>
    </row>
    <row r="16">
      <c r="A16" s="4" t="inlineStr">
        <is>
          <t>COSMO-DYN-010A-5</t>
        </is>
      </c>
      <c r="B16" s="4" t="inlineStr">
        <is>
          <t>Curvature scale ℓ_*~|R|^-1/2; Λ_*~√|R|</t>
        </is>
      </c>
      <c r="C16" s="4" t="inlineStr">
        <is>
          <t>DERIVED DIAGNOSTIC / NO-GO FOR OBSERVED SCALE</t>
        </is>
      </c>
      <c r="D16" s="4" t="inlineStr">
        <is>
          <t>Local curvature tied to cosmological branch</t>
        </is>
      </c>
      <c r="E16" s="4" t="inlineStr">
        <is>
          <t>Produces Planck-order fixed point</t>
        </is>
      </c>
      <c r="F16" s="4" t="inlineStr">
        <is>
          <t>H~ℓ_p^-1 diagnostic</t>
        </is>
      </c>
    </row>
    <row r="17">
      <c r="A17" s="4" t="inlineStr">
        <is>
          <t>COSMO-DYN-010A-6</t>
        </is>
      </c>
      <c r="B17" s="4" t="inlineStr">
        <is>
          <t>Horizon scale ℓ_*=H^-1; Λ_*=αH; H²=ℓ_p²Λ_*⁴/(6π)</t>
        </is>
      </c>
      <c r="C17" s="4" t="inlineStr">
        <is>
          <t>ALGEBRAICALLY DERIVED FIXED-POINT TEST</t>
        </is>
      </c>
      <c r="D17" s="4" t="inlineStr">
        <is>
          <t>O(1) horizon selector assumed</t>
        </is>
      </c>
      <c r="E17" s="4" t="inlineStr">
        <is>
          <t>Observation requires tiny/non-O(1) α</t>
        </is>
      </c>
      <c r="F17" s="4" t="inlineStr">
        <is>
          <t>H(α) relation tests horizon selector</t>
        </is>
      </c>
    </row>
    <row r="18">
      <c r="A18" s="4" t="inlineStr">
        <is>
          <t>COSMO-DYN-010A-7</t>
        </is>
      </c>
      <c r="B18" s="4" t="inlineStr">
        <is>
          <t>Gap scale ℓ_*=λ_1^-1/2</t>
        </is>
      </c>
      <c r="C18" s="4" t="inlineStr">
        <is>
          <t>DERIVED DIAGNOSTIC</t>
        </is>
      </c>
      <c r="D18" s="4" t="inlineStr">
        <is>
          <t>C_N×C_N, K3,3, periodic lattices/topologies</t>
        </is>
      </c>
      <c r="E18" s="4" t="inlineStr">
        <is>
          <t>Does not naturally produce 10^122 horizon count</t>
        </is>
      </c>
      <c r="F18" s="4" t="inlineStr">
        <is>
          <t>Z_H(λ_1^-1)=O(1)/geometry-scale</t>
        </is>
      </c>
    </row>
    <row r="19">
      <c r="A19" s="4" t="inlineStr">
        <is>
          <t>COSMO-DYN-010A-8</t>
        </is>
      </c>
      <c r="B19" s="4" t="inlineStr">
        <is>
          <t>UV scale ℓ_*=λ_max^-1/2→0 under refinement</t>
        </is>
      </c>
      <c r="C19" s="4" t="inlineStr">
        <is>
          <t>DERIVED/CALCULATED</t>
        </is>
      </c>
      <c r="D19" s="4" t="inlineStr">
        <is>
          <t>Refining graphs with λ_max→∞</t>
        </is>
      </c>
      <c r="E19" s="4" t="inlineStr">
        <is>
          <t>Raw UV scale does not survive continuum</t>
        </is>
      </c>
      <c r="F19" s="4" t="inlineStr">
        <is>
          <t>Renormalized finite combination remains an open test</t>
        </is>
      </c>
    </row>
    <row r="20">
      <c r="A20" s="4" t="inlineStr">
        <is>
          <t>COSMO-DYN-010B-9</t>
        </is>
      </c>
      <c r="B20" s="4" t="inlineStr">
        <is>
          <t>e^-tλ_c=ε ⇒ λ_c=(-ln ε)/t; Xi=√(-ln ε) ℓ_p/√t_*</t>
        </is>
      </c>
      <c r="C20" s="4" t="inlineStr">
        <is>
          <t>DERIVED/FORMULATED</t>
        </is>
      </c>
      <c r="D20" s="4" t="inlineStr">
        <is>
          <t>Persistence threshold definition</t>
        </is>
      </c>
      <c r="E20" s="4" t="inlineStr">
        <is>
          <t>t_* and ε require internal generation</t>
        </is>
      </c>
      <c r="F20" s="4" t="inlineStr">
        <is>
          <t>Tests whether Xi_obs can emerge</t>
        </is>
      </c>
    </row>
    <row r="21">
      <c r="A21" s="4" t="inlineStr">
        <is>
          <t>COSMO-DYN-011-Weyl</t>
        </is>
      </c>
      <c r="B21" s="4" t="inlineStr">
        <is>
          <t>N(Λ)~A_HΛ²/(4π); Z_H(t)~A_H/(4πt)</t>
        </is>
      </c>
      <c r="C21" s="4" t="inlineStr">
        <is>
          <t>DERIVED/CALCULATED</t>
        </is>
      </c>
      <c r="D21" s="4" t="inlineStr">
        <is>
          <t>2D Weyl/heat asymptotics</t>
        </is>
      </c>
      <c r="E21" s="4" t="inlineStr">
        <is>
          <t>Does not create 1/4 coefficient</t>
        </is>
      </c>
      <c r="F21" s="4" t="inlineStr">
        <is>
          <t>Independent cross-check of area coefficient</t>
        </is>
      </c>
    </row>
    <row r="22">
      <c r="A22" s="4" t="inlineStr">
        <is>
          <t>COSMO-DYN-012</t>
        </is>
      </c>
      <c r="B22" s="4" t="inlineStr">
        <is>
          <t>Curved horizon heat kernel Z=A/(4πt)+χ/6+a2t+…</t>
        </is>
      </c>
      <c r="C22" s="4" t="inlineStr">
        <is>
          <t>FORMULATED</t>
        </is>
      </c>
      <c r="D22" s="4" t="inlineStr">
        <is>
          <t>General 2D horizon</t>
        </is>
      </c>
      <c r="E22" s="4" t="inlineStr">
        <is>
          <t>Subleading topology/curvature expected not to change leading area coefficient</t>
        </is>
      </c>
      <c r="F22" s="4" t="inlineStr">
        <is>
          <t>π issue becomes non-flat test</t>
        </is>
      </c>
    </row>
    <row r="23">
      <c r="A23" s="4" t="inlineStr">
        <is>
          <t>COSMO-DYN-014</t>
        </is>
      </c>
      <c r="B23" s="4" t="inlineStr">
        <is>
          <t>Λ_*=(2πΛ_cosm/ℓ_p²)^1/4; Xi=6^(1/4)π^(1/2)N_H^-1/4</t>
        </is>
      </c>
      <c r="C23" s="4" t="inlineStr">
        <is>
          <t>ALGEBRAICALLY DERIVED</t>
        </is>
      </c>
      <c r="D23" s="4" t="inlineStr">
        <is>
          <t>Downstream cosmological identities</t>
        </is>
      </c>
      <c r="E23" s="4" t="inlineStr">
        <is>
          <t>Must obtain N_H before H/observation</t>
        </is>
      </c>
      <c r="F23" s="4" t="inlineStr">
        <is>
          <t>Non-circular selector remains open</t>
        </is>
      </c>
    </row>
    <row r="24">
      <c r="A24" s="4" t="inlineStr">
        <is>
          <t>COSMO-DYN-016</t>
        </is>
      </c>
      <c r="B24" s="4" t="inlineStr">
        <is>
          <t>Full closure/falsification architecture</t>
        </is>
      </c>
      <c r="C24" s="4" t="inlineStr">
        <is>
          <t>ARCHITECTURAL RESULT</t>
        </is>
      </c>
      <c r="D24" s="4" t="inlineStr">
        <is>
          <t>No observational inputs upstream; dimensional/refinement/representation invariance required</t>
        </is>
      </c>
      <c r="E24" s="4" t="inlineStr">
        <is>
          <t>Upstream scale/projector/information links remain critical</t>
        </is>
      </c>
      <c r="F24" s="4" t="inlineStr">
        <is>
          <t>Final target Xi≈6.50e-31 only at last line</t>
        </is>
      </c>
    </row>
  </sheetData>
  <autoFilter ref="A1:F24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60" customWidth="1" min="4" max="4"/>
    <col width="16" customWidth="1" min="5" max="5"/>
    <col width="42" customWidth="1" min="6" max="6"/>
    <col width="25" customWidth="1" min="7" max="7"/>
  </cols>
  <sheetData>
    <row r="1">
      <c r="A1" s="3" t="inlineStr">
        <is>
          <t>Branch_ID</t>
        </is>
      </c>
      <c r="B1" s="3" t="inlineStr">
        <is>
          <t>Branch_Name</t>
        </is>
      </c>
      <c r="C1" s="3" t="inlineStr">
        <is>
          <t>Registry_Code</t>
        </is>
      </c>
      <c r="D1" s="3" t="inlineStr">
        <is>
          <t>Core_Objects</t>
        </is>
      </c>
      <c r="E1" s="3" t="inlineStr">
        <is>
          <t>Closure_Layer</t>
        </is>
      </c>
      <c r="F1" s="3" t="inlineStr">
        <is>
          <t>Status</t>
        </is>
      </c>
      <c r="G1" s="3" t="inlineStr">
        <is>
          <t>Authority</t>
        </is>
      </c>
    </row>
    <row r="2">
      <c r="A2" s="4" t="inlineStr">
        <is>
          <t>BRANCH-02</t>
        </is>
      </c>
      <c r="B2" s="4" t="inlineStr">
        <is>
          <t>Spectral Recovery</t>
        </is>
      </c>
      <c r="C2" s="4" t="inlineStr">
        <is>
          <t>SPC</t>
        </is>
      </c>
      <c r="D2" s="4" t="inlineStr">
        <is>
          <t>G,L,Spec(L),K_t,R</t>
        </is>
      </c>
      <c r="E2" s="4" t="inlineStr">
        <is>
          <t>C1-C2</t>
        </is>
      </c>
      <c r="F2" s="4" t="inlineStr">
        <is>
          <t>CALCULATED / SCOPED</t>
        </is>
      </c>
      <c r="G2" s="4" t="inlineStr">
        <is>
          <t>DER-SPC</t>
        </is>
      </c>
    </row>
    <row r="3">
      <c r="A3" s="4" t="inlineStr">
        <is>
          <t>BRANCH-03</t>
        </is>
      </c>
      <c r="B3" s="4" t="inlineStr">
        <is>
          <t>Geometry Recovery</t>
        </is>
      </c>
      <c r="C3" s="4" t="inlineStr">
        <is>
          <t>GEO</t>
        </is>
      </c>
      <c r="D3" s="4" t="inlineStr">
        <is>
          <t>d,g,∇,Γ^c,Riemann,Ricci,R,G</t>
        </is>
      </c>
      <c r="E3" s="4" t="inlineStr">
        <is>
          <t>C3</t>
        </is>
      </c>
      <c r="F3" s="4" t="inlineStr">
        <is>
          <t>DERIVED / SCOPED</t>
        </is>
      </c>
      <c r="G3" s="4" t="inlineStr">
        <is>
          <t>DER-GEO</t>
        </is>
      </c>
    </row>
    <row r="4">
      <c r="A4" s="4" t="inlineStr">
        <is>
          <t>BRANCH-04</t>
        </is>
      </c>
      <c r="B4" s="4" t="inlineStr">
        <is>
          <t>Variational Recovery</t>
        </is>
      </c>
      <c r="C4" s="4" t="inlineStr">
        <is>
          <t>VAR</t>
        </is>
      </c>
      <c r="D4" s="4" t="inlineStr">
        <is>
          <t>C_Π,S,δS,EL</t>
        </is>
      </c>
      <c r="E4" s="4" t="inlineStr">
        <is>
          <t>C2-C3</t>
        </is>
      </c>
      <c r="F4" s="4" t="inlineStr">
        <is>
          <t>CERTIFIED / SCOPED</t>
        </is>
      </c>
      <c r="G4" s="4" t="inlineStr">
        <is>
          <t>DER-VAR</t>
        </is>
      </c>
    </row>
  </sheetData>
  <autoFilter ref="A1:G4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58" customWidth="1" min="3" max="3"/>
    <col width="26" customWidth="1" min="4" max="4"/>
    <col width="70" customWidth="1" min="5" max="5"/>
    <col width="30" customWidth="1" min="6" max="6"/>
  </cols>
  <sheetData>
    <row r="1">
      <c r="A1" s="3" t="inlineStr">
        <is>
          <t>System</t>
        </is>
      </c>
      <c r="B1" s="3" t="inlineStr">
        <is>
          <t>ID</t>
        </is>
      </c>
      <c r="C1" s="3" t="inlineStr">
        <is>
          <t>Calculated result</t>
        </is>
      </c>
      <c r="D1" s="3" t="inlineStr">
        <is>
          <t>Status</t>
        </is>
      </c>
      <c r="E1" s="3" t="inlineStr">
        <is>
          <t>Numerical / analytical evidence</t>
        </is>
      </c>
      <c r="F1" s="3" t="inlineStr">
        <is>
          <t>Source</t>
        </is>
      </c>
    </row>
    <row r="2">
      <c r="A2" s="4" t="inlineStr">
        <is>
          <t>K3,3 v1.2</t>
        </is>
      </c>
      <c r="B2" s="4" t="inlineStr">
        <is>
          <t>MDR-009-L</t>
        </is>
      </c>
      <c r="C2" s="4" t="inlineStr">
        <is>
          <t>dC_T/dt=0 for ε=0</t>
        </is>
      </c>
      <c r="D2" s="4" t="inlineStr">
        <is>
          <t>PROVED / NUMERICALLY VERIFIED</t>
        </is>
      </c>
      <c r="E2" s="4" t="inlineStr">
        <is>
          <t>Analytic proof; numerical verification to 12 significant figures.</t>
        </is>
      </c>
      <c r="F2" s="4" t="inlineStr">
        <is>
          <t>UPG Canonical Reference</t>
        </is>
      </c>
    </row>
    <row r="3">
      <c r="A3" s="4" t="inlineStr">
        <is>
          <t>K3,3 v1.3</t>
        </is>
      </c>
      <c r="B3" s="4" t="inlineStr">
        <is>
          <t>MDR-009C-A</t>
        </is>
      </c>
      <c r="C3" s="4" t="inlineStr">
        <is>
          <t>a0(∞)=ε/(6√6); C_T(∞)=ε⁴/6⁷</t>
        </is>
      </c>
      <c r="D3" s="4" t="inlineStr">
        <is>
          <t>PROVED</t>
        </is>
      </c>
      <c r="E3" s="4" t="inlineStr">
        <is>
          <t>Perturbation theory + numerics across 8 decades.</t>
        </is>
      </c>
      <c r="F3" s="4" t="inlineStr">
        <is>
          <t>UPG Canonical Reference</t>
        </is>
      </c>
    </row>
    <row r="4">
      <c r="A4" s="4" t="inlineStr">
        <is>
          <t>K3,3 v1.3</t>
        </is>
      </c>
      <c r="B4" s="4" t="inlineStr">
        <is>
          <t>MDR-009C-B</t>
        </is>
      </c>
      <c r="C4" s="4" t="inlineStr">
        <is>
          <t>t_break≈1.48+(2/3)ln(1/ε)</t>
        </is>
      </c>
      <c r="D4" s="4" t="inlineStr">
        <is>
          <t>ASYMPTOTICALLY DERIVED</t>
        </is>
      </c>
      <c r="E4" s="4" t="inlineStr">
        <is>
          <t>Three data points confirmed; residual −0.12.</t>
        </is>
      </c>
      <c r="F4" s="4" t="inlineStr">
        <is>
          <t>UPG Canonical Reference</t>
        </is>
      </c>
    </row>
    <row r="5">
      <c r="A5" s="4" t="inlineStr">
        <is>
          <t>K3,3 v1.3</t>
        </is>
      </c>
      <c r="B5" s="4" t="inlineStr">
        <is>
          <t>PO-NEW-5</t>
        </is>
      </c>
      <c r="C5" s="4" t="inlineStr">
        <is>
          <t>∀ε&gt;0 ∃ finite t_break</t>
        </is>
      </c>
      <c r="D5" s="4" t="inlineStr">
        <is>
          <t>ADVANCE</t>
        </is>
      </c>
      <c r="E5" s="4" t="inlineStr">
        <is>
          <t>Decay-rate argument; PHY-SIM-010.</t>
        </is>
      </c>
      <c r="F5" s="4" t="inlineStr">
        <is>
          <t>UPG Canonical Reference</t>
        </is>
      </c>
    </row>
    <row r="6">
      <c r="A6" s="4" t="inlineStr">
        <is>
          <t>ARBS-3 N=25</t>
        </is>
      </c>
      <c r="B6" s="4" t="inlineStr">
        <is>
          <t>C-001a</t>
        </is>
      </c>
      <c r="C6" s="4" t="inlineStr">
        <is>
          <t>D_spec and R_eff rank-equivalent</t>
        </is>
      </c>
      <c r="D6" s="4" t="inlineStr">
        <is>
          <t>NUMERICALLY SUPPORTED</t>
        </is>
      </c>
      <c r="E6" s="4" t="inlineStr">
        <is>
          <t>ρ=0.91 on ARBS-3; exact-isometry claim remains excluded from this calculated core.</t>
        </is>
      </c>
      <c r="F6" s="4" t="inlineStr">
        <is>
          <t>UPG Canonical Reference</t>
        </is>
      </c>
    </row>
    <row r="7">
      <c r="A7" s="4" t="inlineStr">
        <is>
          <t>ARBS-3</t>
        </is>
      </c>
      <c r="B7" s="4" t="inlineStr">
        <is>
          <t>PHY-SIM-008-STRAT</t>
        </is>
      </c>
      <c r="C7" s="4" t="inlineStr">
        <is>
          <t>Spectral shell stratification</t>
        </is>
      </c>
      <c r="D7" s="4" t="inlineStr">
        <is>
          <t>DEMONSTRATED</t>
        </is>
      </c>
      <c r="E7" s="4" t="inlineStr">
        <is>
          <t>Four mode families: OUTER, MID, INNER, MIXED.</t>
        </is>
      </c>
      <c r="F7" s="4" t="inlineStr">
        <is>
          <t>UPG Canonical Reference</t>
        </is>
      </c>
    </row>
    <row r="8">
      <c r="A8" s="4" t="inlineStr">
        <is>
          <t>Maxwell</t>
        </is>
      </c>
      <c r="B8" s="4" t="inlineStr">
        <is>
          <t>UCP-012-Maxwell</t>
        </is>
      </c>
      <c r="C8" s="4" t="inlineStr">
        <is>
          <t>Spectral spine tested on Maxwell electrodynamics</t>
        </is>
      </c>
      <c r="D8" s="4" t="inlineStr">
        <is>
          <t>TESTED / SUPPORTED</t>
        </is>
      </c>
      <c r="E8" s="4" t="inlineStr">
        <is>
          <t>h² convergence confirmed.</t>
        </is>
      </c>
      <c r="F8" s="4" t="inlineStr">
        <is>
          <t>UPG Canonical Reference</t>
        </is>
      </c>
    </row>
  </sheetData>
  <autoFilter ref="A1:F8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62" customWidth="1" min="3" max="3"/>
    <col width="25" customWidth="1" min="4" max="4"/>
    <col width="70" customWidth="1" min="5" max="5"/>
  </cols>
  <sheetData>
    <row r="1">
      <c r="A1" s="3" t="inlineStr">
        <is>
          <t>ID</t>
        </is>
      </c>
      <c r="B1" s="3" t="inlineStr">
        <is>
          <t>Object</t>
        </is>
      </c>
      <c r="C1" s="3" t="inlineStr">
        <is>
          <t>Equation</t>
        </is>
      </c>
      <c r="D1" s="3" t="inlineStr">
        <is>
          <t>Status</t>
        </is>
      </c>
      <c r="E1" s="3" t="inlineStr">
        <is>
          <t>Scope</t>
        </is>
      </c>
    </row>
    <row r="2">
      <c r="A2" s="4" t="inlineStr">
        <is>
          <t>H-003.1</t>
        </is>
      </c>
      <c r="B2" s="4" t="inlineStr">
        <is>
          <t>Incidence factorization</t>
        </is>
      </c>
      <c r="C2" s="4" t="inlineStr">
        <is>
          <t>L=BBᵀ</t>
        </is>
      </c>
      <c r="D2" s="4" t="inlineStr">
        <is>
          <t>DERIVED</t>
        </is>
      </c>
      <c r="E2" s="4" t="inlineStr">
        <is>
          <t>For oriented graph incidence matrix B.</t>
        </is>
      </c>
    </row>
    <row r="3">
      <c r="A3" s="4" t="inlineStr">
        <is>
          <t>H-003.2</t>
        </is>
      </c>
      <c r="B3" s="4" t="inlineStr">
        <is>
          <t>Discrete Hilbert space</t>
        </is>
      </c>
      <c r="C3" s="4" t="inlineStr">
        <is>
          <t>H_G=C^V ⊕ C^E</t>
        </is>
      </c>
      <c r="D3" s="4" t="inlineStr">
        <is>
          <t>DERIVED</t>
        </is>
      </c>
      <c r="E3" s="4" t="inlineStr">
        <is>
          <t>dim H_G=n+m.</t>
        </is>
      </c>
    </row>
    <row r="4">
      <c r="A4" s="4" t="inlineStr">
        <is>
          <t>H-003.3</t>
        </is>
      </c>
      <c r="B4" s="4" t="inlineStr">
        <is>
          <t>Incidence Dirac</t>
        </is>
      </c>
      <c r="C4" s="4" t="inlineStr">
        <is>
          <t>D_G=[[0,B],[Bᵀ,0]]</t>
        </is>
      </c>
      <c r="D4" s="4" t="inlineStr">
        <is>
          <t>DERIVED/CALCULATED</t>
        </is>
      </c>
      <c r="E4" s="4" t="inlineStr">
        <is>
          <t>Self-adjoint for real B.</t>
        </is>
      </c>
    </row>
    <row r="5">
      <c r="A5" s="4" t="inlineStr">
        <is>
          <t>H-003.4</t>
        </is>
      </c>
      <c r="B5" s="4" t="inlineStr">
        <is>
          <t>Square</t>
        </is>
      </c>
      <c r="C5" s="4" t="inlineStr">
        <is>
          <t>D_G²=diag(BBᵀ,BᵀB)</t>
        </is>
      </c>
      <c r="D5" s="4" t="inlineStr">
        <is>
          <t>DERIVED</t>
        </is>
      </c>
      <c r="E5" s="4" t="inlineStr">
        <is>
          <t>Vertex block is L.</t>
        </is>
      </c>
    </row>
    <row r="6">
      <c r="A6" s="4" t="inlineStr">
        <is>
          <t>H-003.5</t>
        </is>
      </c>
      <c r="B6" s="4" t="inlineStr">
        <is>
          <t>Grading</t>
        </is>
      </c>
      <c r="C6" s="4" t="inlineStr">
        <is>
          <t>γ=diag(I_V,-I_E)</t>
        </is>
      </c>
      <c r="D6" s="4" t="inlineStr">
        <is>
          <t>DERIVED</t>
        </is>
      </c>
      <c r="E6" s="4" t="inlineStr">
        <is>
          <t>{γ,D_G}=0.</t>
        </is>
      </c>
    </row>
  </sheetData>
  <autoFilter ref="A1:E6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62" customWidth="1" min="3" max="3"/>
    <col width="28" customWidth="1" min="4" max="4"/>
    <col width="75" customWidth="1" min="5" max="5"/>
  </cols>
  <sheetData>
    <row r="1">
      <c r="A1" s="3" t="inlineStr">
        <is>
          <t>ID</t>
        </is>
      </c>
      <c r="B1" s="3" t="inlineStr">
        <is>
          <t>Test</t>
        </is>
      </c>
      <c r="C1" s="3" t="inlineStr">
        <is>
          <t>Equation / Object</t>
        </is>
      </c>
      <c r="D1" s="3" t="inlineStr">
        <is>
          <t>Status</t>
        </is>
      </c>
      <c r="E1" s="3" t="inlineStr">
        <is>
          <t>Result / Scope</t>
        </is>
      </c>
    </row>
    <row r="2">
      <c r="A2" s="4" t="inlineStr">
        <is>
          <t>H-004.1</t>
        </is>
      </c>
      <c r="B2" s="4" t="inlineStr">
        <is>
          <t>Vertex algebra</t>
        </is>
      </c>
      <c r="C2" s="4" t="inlineStr">
        <is>
          <t>A_V=C^V</t>
        </is>
      </c>
      <c r="D2" s="4" t="inlineStr">
        <is>
          <t>DERIVED/CALCULATED</t>
        </is>
      </c>
      <c r="E2" s="4" t="inlineStr">
        <is>
          <t>Natural finite commutative graph algebra candidate.</t>
        </is>
      </c>
    </row>
    <row r="3">
      <c r="A3" s="4" t="inlineStr">
        <is>
          <t>H-004.2</t>
        </is>
      </c>
      <c r="B3" s="4" t="inlineStr">
        <is>
          <t>Source edge representation</t>
        </is>
      </c>
      <c r="C3" s="4" t="inlineStr">
        <is>
          <t>M_E^(s)(a)_e=a_{s(e)}</t>
        </is>
      </c>
      <c r="D3" s="4" t="inlineStr">
        <is>
          <t>DERIVED/CALCULATED</t>
        </is>
      </c>
      <c r="E3" s="4" t="inlineStr">
        <is>
          <t>Multiplicative algebra homomorphism.</t>
        </is>
      </c>
    </row>
    <row r="4">
      <c r="A4" s="4" t="inlineStr">
        <is>
          <t>H-004.3</t>
        </is>
      </c>
      <c r="B4" s="4" t="inlineStr">
        <is>
          <t>Target edge representation</t>
        </is>
      </c>
      <c r="C4" s="4" t="inlineStr">
        <is>
          <t>M_E^(t)(a)_e=a_{t(e)}</t>
        </is>
      </c>
      <c r="D4" s="4" t="inlineStr">
        <is>
          <t>DERIVED/CALCULATED</t>
        </is>
      </c>
      <c r="E4" s="4" t="inlineStr">
        <is>
          <t>Multiplicative algebra homomorphism.</t>
        </is>
      </c>
    </row>
    <row r="5">
      <c r="A5" s="4" t="inlineStr">
        <is>
          <t>H-004.4</t>
        </is>
      </c>
      <c r="B5" s="4" t="inlineStr">
        <is>
          <t>Midpoint representation test</t>
        </is>
      </c>
      <c r="C5" s="4" t="inlineStr">
        <is>
          <t>M_E(a)_e=(a_s+a_t)/2</t>
        </is>
      </c>
      <c r="D5" s="4" t="inlineStr">
        <is>
          <t>FALSIFIED</t>
        </is>
      </c>
      <c r="E5" s="4" t="inlineStr">
        <is>
          <t>Generically M_E(ab)≠M_E(a)M_E(b).</t>
        </is>
      </c>
    </row>
    <row r="6">
      <c r="A6" s="4" t="inlineStr">
        <is>
          <t>H-004.5</t>
        </is>
      </c>
      <c r="B6" s="4" t="inlineStr">
        <is>
          <t>Discrete differential</t>
        </is>
      </c>
      <c r="C6" s="4" t="inlineStr">
        <is>
          <t>[D_G,π_s(a)] contains (da)_e=a_t-a_s</t>
        </is>
      </c>
      <c r="D6" s="4" t="inlineStr">
        <is>
          <t>DERIVED/CALCULATED</t>
        </is>
      </c>
      <c r="E6" s="4" t="inlineStr">
        <is>
          <t>Graph exterior derivative emerges in commutator.</t>
        </is>
      </c>
    </row>
    <row r="7">
      <c r="A7" s="4" t="inlineStr">
        <is>
          <t>H-004.6</t>
        </is>
      </c>
      <c r="B7" s="4" t="inlineStr">
        <is>
          <t>Bounded commutator</t>
        </is>
      </c>
      <c r="C7" s="4" t="inlineStr">
        <is>
          <t>[D_G,π(a)]∈B(H_G)</t>
        </is>
      </c>
      <c r="D7" s="4" t="inlineStr">
        <is>
          <t>DERIVED</t>
        </is>
      </c>
      <c r="E7" s="4" t="inlineStr">
        <is>
          <t>Automatic for finite-dimensional H_G.</t>
        </is>
      </c>
    </row>
    <row r="8">
      <c r="A8" s="4" t="inlineStr">
        <is>
          <t>H-004.7</t>
        </is>
      </c>
      <c r="B8" s="4" t="inlineStr">
        <is>
          <t>Grading compatibility</t>
        </is>
      </c>
      <c r="C8" s="4" t="inlineStr">
        <is>
          <t>[γ,π(a)]=0 and {γ,D_G}=0</t>
        </is>
      </c>
      <c r="D8" s="4" t="inlineStr">
        <is>
          <t>DERIVED</t>
        </is>
      </c>
      <c r="E8" s="4" t="inlineStr">
        <is>
          <t>Even finite differential structure.</t>
        </is>
      </c>
    </row>
    <row r="9">
      <c r="A9" s="4" t="inlineStr">
        <is>
          <t>H-004.8</t>
        </is>
      </c>
      <c r="B9" s="4" t="inlineStr">
        <is>
          <t>Naive real structure</t>
        </is>
      </c>
      <c r="C9" s="4" t="inlineStr">
        <is>
          <t>J=K</t>
        </is>
      </c>
      <c r="D9" s="4" t="inlineStr">
        <is>
          <t>CANDIDATE</t>
        </is>
      </c>
      <c r="E9" s="4" t="inlineStr">
        <is>
          <t>K²=1, but does not by itself define a canonical real spectral triple.</t>
        </is>
      </c>
    </row>
    <row r="10">
      <c r="A10" s="4" t="inlineStr">
        <is>
          <t>H-004.9</t>
        </is>
      </c>
      <c r="B10" s="4" t="inlineStr">
        <is>
          <t>Naive first-order test</t>
        </is>
      </c>
      <c r="C10" s="4" t="inlineStr">
        <is>
          <t>[[D_G,π_s(a)],Jπ_s(b)J^{-1}]</t>
        </is>
      </c>
      <c r="D10" s="4" t="inlineStr">
        <is>
          <t>FALSIFIED</t>
        </is>
      </c>
      <c r="E10" s="4" t="inlineStr">
        <is>
          <t>Generic nonzero result for the naive same-endpoint right action.</t>
        </is>
      </c>
    </row>
  </sheetData>
  <autoFilter ref="A1:E10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10" customWidth="1" min="4" max="4"/>
    <col width="55" customWidth="1" min="5" max="5"/>
    <col width="55" customWidth="1" min="6" max="6"/>
    <col width="35" customWidth="1" min="7" max="7"/>
    <col width="28" customWidth="1" min="8" max="8"/>
    <col width="75" customWidth="1" min="9" max="9"/>
  </cols>
  <sheetData>
    <row r="1">
      <c r="A1" s="3" t="inlineStr">
        <is>
          <t>Graph</t>
        </is>
      </c>
      <c r="B1" s="3" t="inlineStr">
        <is>
          <t>Family</t>
        </is>
      </c>
      <c r="C1" s="3" t="inlineStr">
        <is>
          <t>|V|</t>
        </is>
      </c>
      <c r="D1" s="3" t="inlineStr">
        <is>
          <t>|E|</t>
        </is>
      </c>
      <c r="E1" s="3" t="inlineStr">
        <is>
          <t>B</t>
        </is>
      </c>
      <c r="F1" s="3" t="inlineStr">
        <is>
          <t>L=BBᵀ</t>
        </is>
      </c>
      <c r="G1" s="3" t="inlineStr">
        <is>
          <t>Spec(L)</t>
        </is>
      </c>
      <c r="H1" s="3" t="inlineStr">
        <is>
          <t>Real-structure result</t>
        </is>
      </c>
      <c r="I1" s="3" t="inlineStr">
        <is>
          <t>Reason</t>
        </is>
      </c>
    </row>
    <row r="2">
      <c r="A2" s="4" t="inlineStr">
        <is>
          <t>G1</t>
        </is>
      </c>
      <c r="B2" s="4" t="inlineStr">
        <is>
          <t>single directed edge</t>
        </is>
      </c>
      <c r="C2" s="4" t="n">
        <v>2</v>
      </c>
      <c r="D2" s="4" t="n">
        <v>1</v>
      </c>
      <c r="E2" s="4" t="inlineStr">
        <is>
          <t>[[-1], [1]]</t>
        </is>
      </c>
      <c r="F2" s="4" t="inlineStr">
        <is>
          <t>[[1, -1], [-1, 1]]</t>
        </is>
      </c>
      <c r="G2" s="4" t="inlineStr">
        <is>
          <t>[0.0, 2.0]</t>
        </is>
      </c>
      <c r="H2" s="4" t="inlineStr">
        <is>
          <t>NO-GO</t>
        </is>
      </c>
      <c r="I2" s="4" t="inlineStr">
        <is>
          <t>source/target character multiplicities differ; no Q</t>
        </is>
      </c>
    </row>
    <row r="3">
      <c r="A3" s="4" t="inlineStr">
        <is>
          <t>G2</t>
        </is>
      </c>
      <c r="B3" s="4" t="inlineStr">
        <is>
          <t>bidirected edge pair</t>
        </is>
      </c>
      <c r="C3" s="4" t="n">
        <v>2</v>
      </c>
      <c r="D3" s="4" t="n">
        <v>2</v>
      </c>
      <c r="E3" s="4" t="inlineStr">
        <is>
          <t>[[-1, 1], [1, -1]]</t>
        </is>
      </c>
      <c r="F3" s="4" t="inlineStr">
        <is>
          <t>[[2, -2], [-2, 2]]</t>
        </is>
      </c>
      <c r="G3" s="4" t="inlineStr">
        <is>
          <t>[0.0, 4.0]</t>
        </is>
      </c>
      <c r="H3" s="4" t="inlineStr">
        <is>
          <t>CLOSED</t>
        </is>
      </c>
      <c r="I3" s="4" t="inlineStr">
        <is>
          <t>reverse-edge permutation Q exists; BQ=-B; Q²=I</t>
        </is>
      </c>
    </row>
    <row r="4">
      <c r="A4" s="4" t="inlineStr">
        <is>
          <t>G3</t>
        </is>
      </c>
      <c r="B4" s="4" t="inlineStr">
        <is>
          <t>directed 3-cycle</t>
        </is>
      </c>
      <c r="C4" s="4" t="n">
        <v>3</v>
      </c>
      <c r="D4" s="4" t="n">
        <v>3</v>
      </c>
      <c r="E4" s="4" t="inlineStr">
        <is>
          <t>[[-1, 0, 1], [1, -1, 0], [0, 1, -1]]</t>
        </is>
      </c>
      <c r="F4" s="4" t="inlineStr">
        <is>
          <t>[[2, -1, -1], [-1, 2, -1], [-1, -1, 2]]</t>
        </is>
      </c>
      <c r="G4" s="4" t="inlineStr">
        <is>
          <t>[-0.0, 3.0, 3.0]</t>
        </is>
      </c>
      <c r="H4" s="4" t="inlineStr">
        <is>
          <t>NO-GO</t>
        </is>
      </c>
      <c r="I4" s="4" t="inlineStr">
        <is>
          <t>character-compatible Q exists but BQ=±B fails</t>
        </is>
      </c>
    </row>
    <row r="5">
      <c r="A5" s="4" t="inlineStr">
        <is>
          <t>G4</t>
        </is>
      </c>
      <c r="B5" s="4" t="inlineStr">
        <is>
          <t>balanced non-symmetric graph</t>
        </is>
      </c>
      <c r="C5" s="4" t="n">
        <v>4</v>
      </c>
      <c r="D5" s="4" t="n">
        <v>6</v>
      </c>
      <c r="E5" s="4" t="inlineStr">
        <is>
          <t>[[-1, 0, 0, 1, -1, 1], [1, -1, 0, 0, 0, 0], [0, 1, -1, 0, 1, -1], [0, 0, 1, -1, 0, 0]]</t>
        </is>
      </c>
      <c r="F5" s="4" t="inlineStr">
        <is>
          <t>[[4, -1, -2, -1], [-1, 2, -1, 0], [-2, -1, 4, -1], [-1, 0, -1, 2]]</t>
        </is>
      </c>
      <c r="G5" s="4" t="inlineStr">
        <is>
          <t>[0.0, 2.0, 4.0, 6.0]</t>
        </is>
      </c>
      <c r="H5" s="4" t="inlineStr">
        <is>
          <t>NO-GO</t>
        </is>
      </c>
      <c r="I5" s="4" t="inlineStr">
        <is>
          <t>balanced/Eulerian but not edge-reversal closed</t>
        </is>
      </c>
    </row>
    <row r="6">
      <c r="A6" s="4" t="inlineStr">
        <is>
          <t>G5</t>
        </is>
      </c>
      <c r="B6" s="4" t="inlineStr">
        <is>
          <t>unbalanced branching graph</t>
        </is>
      </c>
      <c r="C6" s="4" t="n">
        <v>3</v>
      </c>
      <c r="D6" s="4" t="n">
        <v>2</v>
      </c>
      <c r="E6" s="4" t="inlineStr">
        <is>
          <t>[[-1, -1], [1, 0], [0, 1]]</t>
        </is>
      </c>
      <c r="F6" s="4" t="inlineStr">
        <is>
          <t>[[2, -1, -1], [-1, 1, 0], [-1, 0, 1]]</t>
        </is>
      </c>
      <c r="G6" s="4" t="inlineStr">
        <is>
          <t>[-0.0, 1.0, 3.0]</t>
        </is>
      </c>
      <c r="H6" s="4" t="inlineStr">
        <is>
          <t>NO-GO</t>
        </is>
      </c>
      <c r="I6" s="4" t="inlineStr">
        <is>
          <t>source/target character multiplicities differ</t>
        </is>
      </c>
    </row>
  </sheetData>
  <autoFilter ref="A1:I6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70" customWidth="1" min="3" max="3"/>
    <col width="30" customWidth="1" min="4" max="4"/>
    <col width="75" customWidth="1" min="5" max="5"/>
  </cols>
  <sheetData>
    <row r="1">
      <c r="A1" s="3" t="inlineStr">
        <is>
          <t>ID</t>
        </is>
      </c>
      <c r="B1" s="3" t="inlineStr">
        <is>
          <t>Statement</t>
        </is>
      </c>
      <c r="C1" s="3" t="inlineStr">
        <is>
          <t>Equation</t>
        </is>
      </c>
      <c r="D1" s="3" t="inlineStr">
        <is>
          <t>Status</t>
        </is>
      </c>
      <c r="E1" s="3" t="inlineStr">
        <is>
          <t>Interpretation</t>
        </is>
      </c>
    </row>
    <row r="2">
      <c r="A2" s="4" t="inlineStr">
        <is>
          <t>H-006-T1</t>
        </is>
      </c>
      <c r="B2" s="4" t="inlineStr">
        <is>
          <t>Representation intertwining</t>
        </is>
      </c>
      <c r="C2" s="4" t="inlineStr">
        <is>
          <t>Q M_E^(s)(a) Q^{-1}=M_E^(t)(a)</t>
        </is>
      </c>
      <c r="D2" s="4" t="inlineStr">
        <is>
          <t>DERIVED/CONSTRUCTIVE</t>
        </is>
      </c>
      <c r="E2" s="4" t="inlineStr">
        <is>
          <t>Q must map source character of each edge to target character.</t>
        </is>
      </c>
    </row>
    <row r="3">
      <c r="A3" s="4" t="inlineStr">
        <is>
          <t>H-006-T2</t>
        </is>
      </c>
      <c r="B3" s="4" t="inlineStr">
        <is>
          <t>Incidence reversal</t>
        </is>
      </c>
      <c r="C3" s="4" t="inlineStr">
        <is>
          <t>BQ=-B</t>
        </is>
      </c>
      <c r="D3" s="4" t="inlineStr">
        <is>
          <t>DERIVED/CONSTRUCTIVE</t>
        </is>
      </c>
      <c r="E3" s="4" t="inlineStr">
        <is>
          <t>For loopless oriented edges, Qe must represent the reverse edge.</t>
        </is>
      </c>
    </row>
    <row r="4">
      <c r="A4" s="4" t="inlineStr">
        <is>
          <t>H-006-T3</t>
        </is>
      </c>
      <c r="B4" s="4" t="inlineStr">
        <is>
          <t>Reversal closure</t>
        </is>
      </c>
      <c r="C4" s="4" t="inlineStr">
        <is>
          <t>BQ=-B and intertwining ⇒ E is closed under edge reversal</t>
        </is>
      </c>
      <c r="D4" s="4" t="inlineStr">
        <is>
          <t>DERIVED UNDER CURRENT ASSUMPTIONS</t>
        </is>
      </c>
      <c r="E4" s="4" t="inlineStr">
        <is>
          <t>Thus edge-reversal closure is stronger than degree balance.</t>
        </is>
      </c>
    </row>
    <row r="5">
      <c r="A5" s="4" t="inlineStr">
        <is>
          <t>H-006-T4</t>
        </is>
      </c>
      <c r="B5" s="4" t="inlineStr">
        <is>
          <t>Balance implication</t>
        </is>
      </c>
      <c r="C5" s="4" t="inlineStr">
        <is>
          <t>E=E^rev ⇒ deg⁺(v)=deg⁻(v)</t>
        </is>
      </c>
      <c r="D5" s="4" t="inlineStr">
        <is>
          <t>DERIVED</t>
        </is>
      </c>
      <c r="E5" s="4" t="inlineStr">
        <is>
          <t>Reverse pairing gives equal in/out degree.</t>
        </is>
      </c>
    </row>
    <row r="6">
      <c r="A6" s="4" t="inlineStr">
        <is>
          <t>H-006-T5</t>
        </is>
      </c>
      <c r="B6" s="4" t="inlineStr">
        <is>
          <t>Balance insufficiency</t>
        </is>
      </c>
      <c r="C6" s="4" t="inlineStr">
        <is>
          <t>Balanced ⇒ real NCG structure</t>
        </is>
      </c>
      <c r="D6" s="4" t="inlineStr">
        <is>
          <t>FALSIFIED</t>
        </is>
      </c>
      <c r="E6" s="4" t="inlineStr">
        <is>
          <t>G3 and G4 are balanced but fail BQ=±B.</t>
        </is>
      </c>
    </row>
  </sheetData>
  <autoFilter ref="A1:E6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55" customWidth="1" min="3" max="3"/>
    <col width="35" customWidth="1" min="4" max="4"/>
    <col width="28" customWidth="1" min="5" max="5"/>
  </cols>
  <sheetData>
    <row r="1">
      <c r="A1" s="3" t="inlineStr">
        <is>
          <t>Order</t>
        </is>
      </c>
      <c r="B1" s="3" t="inlineStr">
        <is>
          <t>Symbol/Object</t>
        </is>
      </c>
      <c r="C1" s="3" t="inlineStr">
        <is>
          <t>Definition</t>
        </is>
      </c>
      <c r="D1" s="3" t="inlineStr">
        <is>
          <t>Layer</t>
        </is>
      </c>
      <c r="E1" s="3" t="inlineStr">
        <is>
          <t>Status</t>
        </is>
      </c>
    </row>
    <row r="2">
      <c r="A2" s="4" t="inlineStr">
        <is>
          <t>01</t>
        </is>
      </c>
      <c r="B2" s="4" t="inlineStr">
        <is>
          <t>Δ</t>
        </is>
      </c>
      <c r="C2" s="4" t="inlineStr">
        <is>
          <t>Distinction</t>
        </is>
      </c>
      <c r="D2" s="4" t="inlineStr">
        <is>
          <t>primitive</t>
        </is>
      </c>
      <c r="E2" s="4" t="inlineStr">
        <is>
          <t>input</t>
        </is>
      </c>
    </row>
    <row r="3">
      <c r="A3" s="4" t="inlineStr">
        <is>
          <t>02</t>
        </is>
      </c>
      <c r="B3" s="4" t="inlineStr">
        <is>
          <t>τ</t>
        </is>
      </c>
      <c r="C3" s="4" t="inlineStr">
        <is>
          <t>Transformation</t>
        </is>
      </c>
      <c r="D3" s="4" t="inlineStr">
        <is>
          <t>primitive</t>
        </is>
      </c>
      <c r="E3" s="4" t="inlineStr">
        <is>
          <t>input</t>
        </is>
      </c>
    </row>
    <row r="4">
      <c r="A4" s="4" t="inlineStr">
        <is>
          <t>03</t>
        </is>
      </c>
      <c r="B4" s="4" t="inlineStr">
        <is>
          <t>κ</t>
        </is>
      </c>
      <c r="C4" s="4" t="inlineStr">
        <is>
          <t>Constraint</t>
        </is>
      </c>
      <c r="D4" s="4" t="inlineStr">
        <is>
          <t>primitive</t>
        </is>
      </c>
      <c r="E4" s="4" t="inlineStr">
        <is>
          <t>input</t>
        </is>
      </c>
    </row>
    <row r="5">
      <c r="A5" s="4" t="inlineStr">
        <is>
          <t>04</t>
        </is>
      </c>
      <c r="B5" s="4" t="inlineStr">
        <is>
          <t>Π</t>
        </is>
      </c>
      <c r="C5" s="4" t="inlineStr">
        <is>
          <t>Persistence</t>
        </is>
      </c>
      <c r="D5" s="4" t="inlineStr">
        <is>
          <t>state/evolution layer</t>
        </is>
      </c>
      <c r="E5" s="4" t="inlineStr">
        <is>
          <t>retained state</t>
        </is>
      </c>
    </row>
    <row r="6">
      <c r="A6" s="4" t="inlineStr">
        <is>
          <t>05</t>
        </is>
      </c>
      <c r="B6" s="4" t="inlineStr">
        <is>
          <t>Γ</t>
        </is>
      </c>
      <c r="C6" s="4" t="inlineStr">
        <is>
          <t>κ∘τ∘Δ</t>
        </is>
      </c>
      <c r="D6" s="4" t="inlineStr">
        <is>
          <t>organizational generator</t>
        </is>
      </c>
      <c r="E6" s="4" t="inlineStr">
        <is>
          <t>generated</t>
        </is>
      </c>
    </row>
    <row r="7">
      <c r="A7" s="4" t="inlineStr">
        <is>
          <t>06</t>
        </is>
      </c>
      <c r="B7" s="4" t="inlineStr">
        <is>
          <t>O</t>
        </is>
      </c>
      <c r="C7" s="4" t="inlineStr">
        <is>
          <t>organizational operation</t>
        </is>
      </c>
      <c r="D7" s="4" t="inlineStr">
        <is>
          <t>operator layer</t>
        </is>
      </c>
      <c r="E7" s="4" t="inlineStr">
        <is>
          <t>generated</t>
        </is>
      </c>
    </row>
    <row r="8">
      <c r="A8" s="4" t="inlineStr">
        <is>
          <t>07</t>
        </is>
      </c>
      <c r="B8" s="4" t="inlineStr">
        <is>
          <t>Ψ</t>
        </is>
      </c>
      <c r="C8" s="4" t="inlineStr">
        <is>
          <t>organizational state</t>
        </is>
      </c>
      <c r="D8" s="4" t="inlineStr">
        <is>
          <t>state layer</t>
        </is>
      </c>
      <c r="E8" s="4" t="inlineStr">
        <is>
          <t>generated</t>
        </is>
      </c>
    </row>
    <row r="9">
      <c r="A9" s="4" t="inlineStr">
        <is>
          <t>08</t>
        </is>
      </c>
      <c r="B9" s="4" t="inlineStr">
        <is>
          <t>G</t>
        </is>
      </c>
      <c r="C9" s="4" t="inlineStr">
        <is>
          <t>graph realization</t>
        </is>
      </c>
      <c r="D9" s="4" t="inlineStr">
        <is>
          <t>substrate</t>
        </is>
      </c>
      <c r="E9" s="4" t="inlineStr">
        <is>
          <t>generated</t>
        </is>
      </c>
    </row>
    <row r="10">
      <c r="A10" s="4" t="inlineStr">
        <is>
          <t>09</t>
        </is>
      </c>
      <c r="B10" s="4" t="inlineStr">
        <is>
          <t>B</t>
        </is>
      </c>
      <c r="C10" s="4" t="inlineStr">
        <is>
          <t>incidence matrix</t>
        </is>
      </c>
      <c r="D10" s="4" t="inlineStr">
        <is>
          <t>first-order graph operator</t>
        </is>
      </c>
      <c r="E10" s="4" t="inlineStr">
        <is>
          <t>generated/calculated</t>
        </is>
      </c>
    </row>
    <row r="11">
      <c r="A11" s="4" t="inlineStr">
        <is>
          <t>10</t>
        </is>
      </c>
      <c r="B11" s="4" t="inlineStr">
        <is>
          <t>L</t>
        </is>
      </c>
      <c r="C11" s="4" t="inlineStr">
        <is>
          <t>BBᵀ or D-A</t>
        </is>
      </c>
      <c r="D11" s="4" t="inlineStr">
        <is>
          <t>PSD Laplacian</t>
        </is>
      </c>
      <c r="E11" s="4" t="inlineStr">
        <is>
          <t>calculated</t>
        </is>
      </c>
    </row>
    <row r="12">
      <c r="A12" s="4" t="inlineStr">
        <is>
          <t>11</t>
        </is>
      </c>
      <c r="B12" s="4" t="inlineStr">
        <is>
          <t>Spec(L)</t>
        </is>
      </c>
      <c r="C12" s="4" t="inlineStr">
        <is>
          <t>{λ_i,φ_i}</t>
        </is>
      </c>
      <c r="D12" s="4" t="inlineStr">
        <is>
          <t>spectral substrate</t>
        </is>
      </c>
      <c r="E12" s="4" t="inlineStr">
        <is>
          <t>calculated</t>
        </is>
      </c>
    </row>
    <row r="13">
      <c r="A13" s="4" t="inlineStr">
        <is>
          <t>12</t>
        </is>
      </c>
      <c r="B13" s="4" t="inlineStr">
        <is>
          <t>K_t</t>
        </is>
      </c>
      <c r="C13" s="4" t="inlineStr">
        <is>
          <t>e^{-tL}</t>
        </is>
      </c>
      <c r="D13" s="4" t="inlineStr">
        <is>
          <t>persistence/diffusion</t>
        </is>
      </c>
      <c r="E13" s="4" t="inlineStr">
        <is>
          <t>calculated</t>
        </is>
      </c>
    </row>
    <row r="14">
      <c r="A14" s="4" t="inlineStr">
        <is>
          <t>13</t>
        </is>
      </c>
      <c r="B14" s="4" t="inlineStr">
        <is>
          <t>d</t>
        </is>
      </c>
      <c r="C14" s="4" t="inlineStr">
        <is>
          <t>spectral diffusion distance</t>
        </is>
      </c>
      <c r="D14" s="4" t="inlineStr">
        <is>
          <t>metric precursor</t>
        </is>
      </c>
      <c r="E14" s="4" t="inlineStr">
        <is>
          <t>calculated</t>
        </is>
      </c>
    </row>
    <row r="15">
      <c r="A15" s="4" t="inlineStr">
        <is>
          <t>14</t>
        </is>
      </c>
      <c r="B15" s="4" t="inlineStr">
        <is>
          <t>g</t>
        </is>
      </c>
      <c r="C15" s="4" t="inlineStr">
        <is>
          <t>continuum metric</t>
        </is>
      </c>
      <c r="D15" s="4" t="inlineStr">
        <is>
          <t>geometry</t>
        </is>
      </c>
      <c r="E15" s="4" t="inlineStr">
        <is>
          <t>scoped/derived</t>
        </is>
      </c>
    </row>
    <row r="16">
      <c r="A16" s="4" t="inlineStr">
        <is>
          <t>15</t>
        </is>
      </c>
      <c r="B16" s="4" t="inlineStr">
        <is>
          <t>∇</t>
        </is>
      </c>
      <c r="C16" s="4" t="inlineStr">
        <is>
          <t>Levi-Civita connection</t>
        </is>
      </c>
      <c r="D16" s="4" t="inlineStr">
        <is>
          <t>differential geometry</t>
        </is>
      </c>
      <c r="E16" s="4" t="inlineStr">
        <is>
          <t>derived</t>
        </is>
      </c>
    </row>
    <row r="17">
      <c r="A17" s="4" t="inlineStr">
        <is>
          <t>16</t>
        </is>
      </c>
      <c r="B17" s="4" t="inlineStr">
        <is>
          <t>R,R_μν,R,G_μν</t>
        </is>
      </c>
      <c r="C17" s="4" t="inlineStr">
        <is>
          <t>curvature hierarchy</t>
        </is>
      </c>
      <c r="D17" s="4" t="inlineStr">
        <is>
          <t>gravity geometry</t>
        </is>
      </c>
      <c r="E17" s="4" t="inlineStr">
        <is>
          <t>derived</t>
        </is>
      </c>
    </row>
    <row r="18">
      <c r="A18" s="4" t="inlineStr">
        <is>
          <t>17</t>
        </is>
      </c>
      <c r="B18" s="4" t="inlineStr">
        <is>
          <t>S_EH</t>
        </is>
      </c>
      <c r="C18" s="4" t="inlineStr">
        <is>
          <t>Einstein-Hilbert action</t>
        </is>
      </c>
      <c r="D18" s="4" t="inlineStr">
        <is>
          <t>variational physics</t>
        </is>
      </c>
      <c r="E18" s="4" t="inlineStr">
        <is>
          <t>admitted</t>
        </is>
      </c>
    </row>
    <row r="19">
      <c r="A19" s="4" t="inlineStr">
        <is>
          <t>18</t>
        </is>
      </c>
      <c r="B19" s="4" t="inlineStr">
        <is>
          <t>D_G</t>
        </is>
      </c>
      <c r="C19" s="4" t="inlineStr">
        <is>
          <t>[[0,B],[Bᵀ,0]]</t>
        </is>
      </c>
      <c r="D19" s="4" t="inlineStr">
        <is>
          <t>discrete Dirac</t>
        </is>
      </c>
      <c r="E19" s="4" t="inlineStr">
        <is>
          <t>calculated</t>
        </is>
      </c>
    </row>
    <row r="20">
      <c r="A20" s="4" t="inlineStr">
        <is>
          <t>19</t>
        </is>
      </c>
      <c r="B20" s="4" t="inlineStr">
        <is>
          <t>ρ_vac</t>
        </is>
      </c>
      <c r="C20" s="4" t="inlineStr">
        <is>
          <t>ħcΛ_*⁴/(16π²)</t>
        </is>
      </c>
      <c r="D20" s="4" t="inlineStr">
        <is>
          <t>spectral vacuum branch</t>
        </is>
      </c>
      <c r="E20" s="4" t="inlineStr">
        <is>
          <t>calculated</t>
        </is>
      </c>
    </row>
    <row r="21">
      <c r="A21" s="4" t="inlineStr">
        <is>
          <t>20</t>
        </is>
      </c>
      <c r="B21" s="4" t="inlineStr">
        <is>
          <t>Λ_cosm</t>
        </is>
      </c>
      <c r="C21" s="4" t="inlineStr">
        <is>
          <t>ℓ_p²Λ_*⁴/(2π)</t>
        </is>
      </c>
      <c r="D21" s="4" t="inlineStr">
        <is>
          <t>cosmological constant mapping</t>
        </is>
      </c>
      <c r="E21" s="4" t="inlineStr">
        <is>
          <t>derived</t>
        </is>
      </c>
    </row>
    <row r="22">
      <c r="A22" s="4" t="inlineStr">
        <is>
          <t>21</t>
        </is>
      </c>
      <c r="B22" s="4" t="inlineStr">
        <is>
          <t>H</t>
        </is>
      </c>
      <c r="C22" s="4" t="inlineStr">
        <is>
          <t>√(8πGρ_vac/3)</t>
        </is>
      </c>
      <c r="D22" s="4" t="inlineStr">
        <is>
          <t>vacuum expansion rate</t>
        </is>
      </c>
      <c r="E22" s="4" t="inlineStr">
        <is>
          <t>derived</t>
        </is>
      </c>
    </row>
    <row r="23">
      <c r="A23" s="4" t="inlineStr">
        <is>
          <t>22</t>
        </is>
      </c>
      <c r="B23" s="4" t="inlineStr">
        <is>
          <t>a(t)</t>
        </is>
      </c>
      <c r="C23" s="4" t="inlineStr">
        <is>
          <t>a₀exp(∫Hdt)</t>
        </is>
      </c>
      <c r="D23" s="4" t="inlineStr">
        <is>
          <t>scale factor</t>
        </is>
      </c>
      <c r="E23" s="4" t="inlineStr">
        <is>
          <t>derived</t>
        </is>
      </c>
    </row>
  </sheetData>
  <autoFilter ref="A1:E23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60" customWidth="1" min="3" max="3"/>
    <col width="28" customWidth="1" min="4" max="4"/>
  </cols>
  <sheetData>
    <row r="1">
      <c r="A1" s="3" t="inlineStr">
        <is>
          <t>Parent</t>
        </is>
      </c>
      <c r="B1" s="3" t="inlineStr">
        <is>
          <t>Child</t>
        </is>
      </c>
      <c r="C1" s="3" t="inlineStr">
        <is>
          <t>Relation</t>
        </is>
      </c>
      <c r="D1" s="3" t="inlineStr">
        <is>
          <t>Status</t>
        </is>
      </c>
    </row>
    <row r="2">
      <c r="A2" s="4" t="inlineStr">
        <is>
          <t>Δ,τ,κ,Π</t>
        </is>
      </c>
      <c r="B2" s="4" t="inlineStr">
        <is>
          <t>Γ</t>
        </is>
      </c>
      <c r="C2" s="4" t="inlineStr">
        <is>
          <t>Γ=κ∘τ∘Δ</t>
        </is>
      </c>
      <c r="D2" s="4" t="inlineStr">
        <is>
          <t>CERTIFIED</t>
        </is>
      </c>
    </row>
    <row r="3">
      <c r="A3" s="4" t="inlineStr">
        <is>
          <t>Γ</t>
        </is>
      </c>
      <c r="B3" s="4" t="inlineStr">
        <is>
          <t>O,Ψ</t>
        </is>
      </c>
      <c r="C3" s="4" t="inlineStr">
        <is>
          <t>organizational recursion</t>
        </is>
      </c>
      <c r="D3" s="4" t="inlineStr">
        <is>
          <t>CERTIFIED/PARTIAL</t>
        </is>
      </c>
    </row>
    <row r="4">
      <c r="A4" s="4" t="inlineStr">
        <is>
          <t>Ψ</t>
        </is>
      </c>
      <c r="B4" s="4" t="inlineStr">
        <is>
          <t>G</t>
        </is>
      </c>
      <c r="C4" s="4" t="inlineStr">
        <is>
          <t>graph realization</t>
        </is>
      </c>
      <c r="D4" s="4" t="inlineStr">
        <is>
          <t>CALCULATED/SCOPED</t>
        </is>
      </c>
    </row>
    <row r="5">
      <c r="A5" s="4" t="inlineStr">
        <is>
          <t>G</t>
        </is>
      </c>
      <c r="B5" s="4" t="inlineStr">
        <is>
          <t>B</t>
        </is>
      </c>
      <c r="C5" s="4" t="inlineStr">
        <is>
          <t>oriented incidence</t>
        </is>
      </c>
      <c r="D5" s="4" t="inlineStr">
        <is>
          <t>CALCULATED</t>
        </is>
      </c>
    </row>
    <row r="6">
      <c r="A6" s="4" t="inlineStr">
        <is>
          <t>B</t>
        </is>
      </c>
      <c r="B6" s="4" t="inlineStr">
        <is>
          <t>L</t>
        </is>
      </c>
      <c r="C6" s="4" t="inlineStr">
        <is>
          <t>L=BBᵀ</t>
        </is>
      </c>
      <c r="D6" s="4" t="inlineStr">
        <is>
          <t>DERIVED</t>
        </is>
      </c>
    </row>
    <row r="7">
      <c r="A7" s="4" t="inlineStr">
        <is>
          <t>L</t>
        </is>
      </c>
      <c r="B7" s="4" t="inlineStr">
        <is>
          <t>Spec(L)</t>
        </is>
      </c>
      <c r="C7" s="4" t="inlineStr">
        <is>
          <t>Lφ=λφ</t>
        </is>
      </c>
      <c r="D7" s="4" t="inlineStr">
        <is>
          <t>CERTIFIED</t>
        </is>
      </c>
    </row>
    <row r="8">
      <c r="A8" s="4" t="inlineStr">
        <is>
          <t>Spec(L)</t>
        </is>
      </c>
      <c r="B8" s="4" t="inlineStr">
        <is>
          <t>K_t</t>
        </is>
      </c>
      <c r="C8" s="4" t="inlineStr">
        <is>
          <t>e^{-tL}</t>
        </is>
      </c>
      <c r="D8" s="4" t="inlineStr">
        <is>
          <t>CERTIFIED</t>
        </is>
      </c>
    </row>
    <row r="9">
      <c r="A9" s="4" t="inlineStr">
        <is>
          <t>Spec(L)</t>
        </is>
      </c>
      <c r="B9" s="4" t="inlineStr">
        <is>
          <t>d</t>
        </is>
      </c>
      <c r="C9" s="4" t="inlineStr">
        <is>
          <t>diffusion distance</t>
        </is>
      </c>
      <c r="D9" s="4" t="inlineStr">
        <is>
          <t>CALCULATED/SCOPED</t>
        </is>
      </c>
    </row>
    <row r="10">
      <c r="A10" s="4" t="inlineStr">
        <is>
          <t>d</t>
        </is>
      </c>
      <c r="B10" s="4" t="inlineStr">
        <is>
          <t>g</t>
        </is>
      </c>
      <c r="C10" s="4" t="inlineStr">
        <is>
          <t>spectral metric reconstruction</t>
        </is>
      </c>
      <c r="D10" s="4" t="inlineStr">
        <is>
          <t>CALCULATED/SCOPED</t>
        </is>
      </c>
    </row>
    <row r="11">
      <c r="A11" s="4" t="inlineStr">
        <is>
          <t>g</t>
        </is>
      </c>
      <c r="B11" s="4" t="inlineStr">
        <is>
          <t>∇</t>
        </is>
      </c>
      <c r="C11" s="4" t="inlineStr">
        <is>
          <t>Levi-Civita</t>
        </is>
      </c>
      <c r="D11" s="4" t="inlineStr">
        <is>
          <t>DERIVED</t>
        </is>
      </c>
    </row>
    <row r="12">
      <c r="A12" s="4" t="inlineStr">
        <is>
          <t>∇</t>
        </is>
      </c>
      <c r="B12" s="4" t="inlineStr">
        <is>
          <t>R,R_μν,R,G_μν</t>
        </is>
      </c>
      <c r="C12" s="4" t="inlineStr">
        <is>
          <t>curvature contractions</t>
        </is>
      </c>
      <c r="D12" s="4" t="inlineStr">
        <is>
          <t>DERIVED</t>
        </is>
      </c>
    </row>
    <row r="13">
      <c r="A13" s="4" t="inlineStr">
        <is>
          <t>G_μν</t>
        </is>
      </c>
      <c r="B13" s="4" t="inlineStr">
        <is>
          <t>Einstein dynamics</t>
        </is>
      </c>
      <c r="C13" s="4" t="inlineStr">
        <is>
          <t>EH variation / field equation</t>
        </is>
      </c>
      <c r="D13" s="4" t="inlineStr">
        <is>
          <t>DERIVED/ADMITTED</t>
        </is>
      </c>
    </row>
    <row r="14">
      <c r="A14" s="4" t="inlineStr">
        <is>
          <t>B</t>
        </is>
      </c>
      <c r="B14" s="4" t="inlineStr">
        <is>
          <t>D_G</t>
        </is>
      </c>
      <c r="C14" s="4" t="inlineStr">
        <is>
          <t>incidence Dirac</t>
        </is>
      </c>
      <c r="D14" s="4" t="inlineStr">
        <is>
          <t>DERIVED/CALCULATED</t>
        </is>
      </c>
    </row>
    <row r="15">
      <c r="A15" s="4" t="inlineStr">
        <is>
          <t>D_G,π</t>
        </is>
      </c>
      <c r="B15" s="4" t="inlineStr">
        <is>
          <t>da</t>
        </is>
      </c>
      <c r="C15" s="4" t="inlineStr">
        <is>
          <t>[D_G,π(a)]</t>
        </is>
      </c>
      <c r="D15" s="4" t="inlineStr">
        <is>
          <t>DERIVED/CALCULATED</t>
        </is>
      </c>
    </row>
    <row r="16">
      <c r="A16" s="4" t="inlineStr">
        <is>
          <t>Spec(L)</t>
        </is>
      </c>
      <c r="B16" s="4" t="inlineStr">
        <is>
          <t>DOS</t>
        </is>
      </c>
      <c r="C16" s="4" t="inlineStr">
        <is>
          <t>dν/dλ=√λ/(4π²)</t>
        </is>
      </c>
      <c r="D16" s="4" t="inlineStr">
        <is>
          <t>DERIVED</t>
        </is>
      </c>
    </row>
    <row r="17">
      <c r="A17" s="4" t="inlineStr">
        <is>
          <t>DOS,Λ_*</t>
        </is>
      </c>
      <c r="B17" s="4" t="inlineStr">
        <is>
          <t>ρ_vac</t>
        </is>
      </c>
      <c r="C17" s="4" t="inlineStr">
        <is>
          <t>ħcΛ_*⁴/(16π²)</t>
        </is>
      </c>
      <c r="D17" s="4" t="inlineStr">
        <is>
          <t>DERIVED/CALCULATED</t>
        </is>
      </c>
    </row>
    <row r="18">
      <c r="A18" s="4" t="inlineStr">
        <is>
          <t>ρ_vac</t>
        </is>
      </c>
      <c r="B18" s="4" t="inlineStr">
        <is>
          <t>Λ_cosm</t>
        </is>
      </c>
      <c r="C18" s="4" t="inlineStr">
        <is>
          <t>ℓ_p²Λ_*⁴/(2π)</t>
        </is>
      </c>
      <c r="D18" s="4" t="inlineStr">
        <is>
          <t>DERIVED</t>
        </is>
      </c>
    </row>
    <row r="19">
      <c r="A19" s="4" t="inlineStr">
        <is>
          <t>ρ_vac</t>
        </is>
      </c>
      <c r="B19" s="4" t="inlineStr">
        <is>
          <t>H</t>
        </is>
      </c>
      <c r="C19" s="4" t="inlineStr">
        <is>
          <t>H²=8πGρ/3</t>
        </is>
      </c>
      <c r="D19" s="4" t="inlineStr">
        <is>
          <t>DERIVED/ADMITTED</t>
        </is>
      </c>
    </row>
    <row r="20">
      <c r="A20" s="4" t="inlineStr">
        <is>
          <t>H</t>
        </is>
      </c>
      <c r="B20" s="4" t="inlineStr">
        <is>
          <t>a(t)</t>
        </is>
      </c>
      <c r="C20" s="4" t="inlineStr">
        <is>
          <t>a₀exp(∫Hdt)</t>
        </is>
      </c>
      <c r="D20" s="4" t="inlineStr">
        <is>
          <t>DERIVED</t>
        </is>
      </c>
    </row>
  </sheetData>
  <autoFilter ref="A1:D20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80" customWidth="1" min="3" max="3"/>
  </cols>
  <sheetData>
    <row r="1">
      <c r="A1" s="3" t="inlineStr">
        <is>
          <t>Metric</t>
        </is>
      </c>
      <c r="B1" s="3" t="inlineStr">
        <is>
          <t>Value</t>
        </is>
      </c>
      <c r="C1" s="3" t="inlineStr">
        <is>
          <t>Interpretation</t>
        </is>
      </c>
    </row>
    <row r="2">
      <c r="A2" s="4" t="inlineStr">
        <is>
          <t>Synchronized canonical nodes</t>
        </is>
      </c>
      <c r="B2" s="4" t="inlineStr">
        <is>
          <t>779</t>
        </is>
      </c>
      <c r="C2" s="4" t="inlineStr">
        <is>
          <t>Latest canonical DAG snapshot</t>
        </is>
      </c>
    </row>
    <row r="3">
      <c r="A3" s="4" t="inlineStr">
        <is>
          <t>Dependency edges</t>
        </is>
      </c>
      <c r="B3" s="4" t="inlineStr">
        <is>
          <t>320</t>
        </is>
      </c>
      <c r="C3" s="4" t="inlineStr">
        <is>
          <t>Explicit + source-preserving relations</t>
        </is>
      </c>
    </row>
    <row r="4">
      <c r="A4" s="4" t="inlineStr">
        <is>
          <t>Internal DAG edges</t>
        </is>
      </c>
      <c r="B4" s="4" t="inlineStr">
        <is>
          <t>106</t>
        </is>
      </c>
      <c r="C4" s="4" t="inlineStr">
        <is>
          <t>Canonical endpoints</t>
        </is>
      </c>
    </row>
    <row r="5">
      <c r="A5" s="4" t="inlineStr">
        <is>
          <t>Canonical equations in source matrix</t>
        </is>
      </c>
      <c r="B5" s="4" t="inlineStr">
        <is>
          <t>174</t>
        </is>
      </c>
      <c r="C5" s="4" t="inlineStr">
        <is>
          <t>Preserved source corpus count</t>
        </is>
      </c>
    </row>
    <row r="6">
      <c r="A6" s="4" t="inlineStr">
        <is>
          <t>DER v2 entries</t>
        </is>
      </c>
      <c r="B6" s="4" t="inlineStr">
        <is>
          <t>59</t>
        </is>
      </c>
      <c r="C6" s="4" t="inlineStr">
        <is>
          <t>Latest synchronized registry count</t>
        </is>
      </c>
    </row>
    <row r="7">
      <c r="A7" s="4" t="inlineStr">
        <is>
          <t>Variables</t>
        </is>
      </c>
      <c r="B7" s="4" t="inlineStr">
        <is>
          <t>268</t>
        </is>
      </c>
      <c r="C7" s="4" t="inlineStr">
        <is>
          <t>Canonical variable registry count</t>
        </is>
      </c>
    </row>
    <row r="8">
      <c r="A8" s="4" t="inlineStr">
        <is>
          <t>Registered bridges</t>
        </is>
      </c>
      <c r="B8" s="4" t="inlineStr">
        <is>
          <t>29</t>
        </is>
      </c>
      <c r="C8" s="4" t="inlineStr">
        <is>
          <t>BR-001 through BR-029</t>
        </is>
      </c>
    </row>
    <row r="9">
      <c r="A9" s="4" t="inlineStr">
        <is>
          <t>Closure layers</t>
        </is>
      </c>
      <c r="B9" s="4" t="inlineStr">
        <is>
          <t>11</t>
        </is>
      </c>
      <c r="C9" s="4" t="inlineStr">
        <is>
          <t>C0-C10</t>
        </is>
      </c>
    </row>
    <row r="10">
      <c r="A10" s="4" t="inlineStr">
        <is>
          <t>Calculated bridge records retained here</t>
        </is>
      </c>
      <c r="B10" s="4" t="inlineStr">
        <is>
          <t>25</t>
        </is>
      </c>
      <c r="C10" s="4" t="inlineStr">
        <is>
          <t>All registered bridges excluding OPEN/PROPOSED entries</t>
        </is>
      </c>
    </row>
    <row r="11">
      <c r="A11" s="4" t="inlineStr">
        <is>
          <t>Current-chat H-006 test graphs</t>
        </is>
      </c>
      <c r="B11" s="4" t="inlineStr">
        <is>
          <t>5</t>
        </is>
      </c>
      <c r="C11" s="4" t="inlineStr">
        <is>
          <t>Single edge, bidirected pair, directed cycle, balanced asymmetric graph, branching graph</t>
        </is>
      </c>
    </row>
    <row r="12">
      <c r="A12" s="4" t="inlineStr">
        <is>
          <t>H-006 surviving graph witness</t>
        </is>
      </c>
      <c r="B12" s="4" t="inlineStr">
        <is>
          <t>G2</t>
        </is>
      </c>
      <c r="C12" s="4" t="inlineStr">
        <is>
          <t>Bidirected edge pair</t>
        </is>
      </c>
    </row>
  </sheetData>
  <autoFilter ref="A1:C12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28" customWidth="1" min="3" max="3"/>
    <col width="55" customWidth="1" min="4" max="4"/>
  </cols>
  <sheetData>
    <row r="1">
      <c r="A1" s="5" t="inlineStr">
        <is>
          <t>Calculation</t>
        </is>
      </c>
      <c r="B1" s="5" t="inlineStr">
        <is>
          <t>Formula</t>
        </is>
      </c>
      <c r="C1" s="5" t="inlineStr">
        <is>
          <t>Value</t>
        </is>
      </c>
      <c r="D1" s="5" t="inlineStr">
        <is>
          <t>Units / Interpretation</t>
        </is>
      </c>
    </row>
    <row r="2">
      <c r="A2" t="inlineStr">
        <is>
          <t>Planck length</t>
        </is>
      </c>
      <c r="B2" t="inlineStr">
        <is>
          <t>sqrt(hbar*G/c^3)</t>
        </is>
      </c>
      <c r="C2" t="inlineStr">
        <is>
          <t>1.616e-35</t>
        </is>
      </c>
      <c r="D2" t="inlineStr">
        <is>
          <t>m (registered physical scale)</t>
        </is>
      </c>
    </row>
    <row r="3">
      <c r="A3" t="inlineStr">
        <is>
          <t>Corrected cutoff</t>
        </is>
      </c>
      <c r="B3" t="inlineStr">
        <is>
          <t>Lambda_*</t>
        </is>
      </c>
      <c r="C3" t="inlineStr">
        <is>
          <t>4.02e4</t>
        </is>
      </c>
      <c r="D3" t="inlineStr">
        <is>
          <t>m^-1</t>
        </is>
      </c>
    </row>
    <row r="4">
      <c r="A4" t="inlineStr">
        <is>
          <t>Dimensionless cutoff</t>
        </is>
      </c>
      <c r="B4" t="inlineStr">
        <is>
          <t>Xi=Lambda_* ell_p</t>
        </is>
      </c>
      <c r="C4">
        <f>4.02E4*1.616E-35</f>
        <v/>
      </c>
      <c r="D4" t="inlineStr">
        <is>
          <t>dimensionless</t>
        </is>
      </c>
    </row>
    <row r="5">
      <c r="A5" t="inlineStr">
        <is>
          <t>Hierarchy</t>
        </is>
      </c>
      <c r="B5" t="inlineStr">
        <is>
          <t>Xi^4</t>
        </is>
      </c>
      <c r="C5">
        <f>(4.02E4*1.616E-35)^4</f>
        <v/>
      </c>
      <c r="D5" t="inlineStr">
        <is>
          <t>dimensionless ~10^-121</t>
        </is>
      </c>
    </row>
    <row r="6">
      <c r="A6" t="inlineStr">
        <is>
          <t>BH/spectral ratio</t>
        </is>
      </c>
      <c r="B6" t="inlineStr">
        <is>
          <t>N_BH/N_spec</t>
        </is>
      </c>
      <c r="C6">
        <f>PI()</f>
        <v/>
      </c>
      <c r="D6" t="inlineStr">
        <is>
          <t>exact asymptotic normalization ratio when t*=ell_p^2</t>
        </is>
      </c>
    </row>
    <row r="7">
      <c r="A7" t="inlineStr">
        <is>
          <t>H-006 survivor count</t>
        </is>
      </c>
      <c r="B7" t="inlineStr">
        <is>
          <t>COUNTIF</t>
        </is>
      </c>
      <c r="C7">
        <f>COUNTIF('19_NCG_H006_UNIVERSALITY'!H2:H6,"CLOSED")</f>
        <v/>
      </c>
      <c r="D7" t="inlineStr">
        <is>
          <t>finite test family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2026-08-16T20:25:26Z</dcterms:created>
  <dcterms:modified xmlns:dcterms="http://purl.org/dc/terms/" xmlns:xsi="http://www.w3.org/2001/XMLSchema-instance" xsi:type="dcterms:W3CDTF">2026-08-16T20:25:26Z</dcterms:modified>
</cp:coreProperties>
</file>