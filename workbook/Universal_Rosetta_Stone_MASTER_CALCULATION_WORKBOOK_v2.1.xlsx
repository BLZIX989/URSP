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Override PartName="/xl/tables/table27.xml" ContentType="application/vnd.openxmlformats-officedocument.spreadsheetml.table+xml"/>
  <Override PartName="/xl/worksheets/sheet29.xml" ContentType="application/vnd.openxmlformats-officedocument.spreadsheetml.worksheet+xml"/>
  <Override PartName="/xl/tables/table28.xml" ContentType="application/vnd.openxmlformats-officedocument.spreadsheetml.table+xml"/>
  <Override PartName="/xl/worksheets/sheet30.xml" ContentType="application/vnd.openxmlformats-officedocument.spreadsheetml.worksheet+xml"/>
  <Override PartName="/xl/tables/table29.xml" ContentType="application/vnd.openxmlformats-officedocument.spreadsheetml.table+xml"/>
  <Override PartName="/xl/worksheets/sheet31.xml" ContentType="application/vnd.openxmlformats-officedocument.spreadsheetml.worksheet+xml"/>
  <Override PartName="/xl/tables/table30.xml" ContentType="application/vnd.openxmlformats-officedocument.spreadsheetml.table+xml"/>
  <Override PartName="/xl/worksheets/sheet32.xml" ContentType="application/vnd.openxmlformats-officedocument.spreadsheetml.worksheet+xml"/>
  <Override PartName="/xl/tables/table31.xml" ContentType="application/vnd.openxmlformats-officedocument.spreadsheetml.table+xml"/>
  <Override PartName="/xl/worksheets/sheet33.xml" ContentType="application/vnd.openxmlformats-officedocument.spreadsheetml.worksheet+xml"/>
  <Override PartName="/xl/tables/table32.xml" ContentType="application/vnd.openxmlformats-officedocument.spreadsheetml.table+xml"/>
  <Override PartName="/xl/worksheets/sheet34.xml" ContentType="application/vnd.openxmlformats-officedocument.spreadsheetml.worksheet+xml"/>
  <Override PartName="/xl/tables/table33.xml" ContentType="application/vnd.openxmlformats-officedocument.spreadsheetml.table+xml"/>
  <Override PartName="/xl/worksheets/sheet35.xml" ContentType="application/vnd.openxmlformats-officedocument.spreadsheetml.worksheet+xml"/>
  <Override PartName="/xl/tables/table34.xml" ContentType="application/vnd.openxmlformats-officedocument.spreadsheetml.table+xml"/>
  <Override PartName="/xl/worksheets/sheet36.xml" ContentType="application/vnd.openxmlformats-officedocument.spreadsheetml.worksheet+xml"/>
  <Override PartName="/xl/tables/table35.xml" ContentType="application/vnd.openxmlformats-officedocument.spreadsheetml.table+xml"/>
  <Override PartName="/xl/worksheets/sheet37.xml" ContentType="application/vnd.openxmlformats-officedocument.spreadsheetml.worksheet+xml"/>
  <Override PartName="/xl/tables/table36.xml" ContentType="application/vnd.openxmlformats-officedocument.spreadsheetml.table+xml"/>
  <Override PartName="/xl/worksheets/sheet38.xml" ContentType="application/vnd.openxmlformats-officedocument.spreadsheetml.worksheet+xml"/>
  <Override PartName="/xl/tables/table37.xml" ContentType="application/vnd.openxmlformats-officedocument.spreadsheetml.table+xml"/>
  <Override PartName="/xl/worksheets/sheet39.xml" ContentType="application/vnd.openxmlformats-officedocument.spreadsheetml.worksheet+xml"/>
  <Override PartName="/xl/tables/table38.xml" ContentType="application/vnd.openxmlformats-officedocument.spreadsheetml.table+xml"/>
  <Override PartName="/xl/worksheets/sheet40.xml" ContentType="application/vnd.openxmlformats-officedocument.spreadsheetml.worksheet+xml"/>
  <Override PartName="/xl/tables/table39.xml" ContentType="application/vnd.openxmlformats-officedocument.spreadsheetml.table+xml"/>
  <Override PartName="/xl/worksheets/sheet41.xml" ContentType="application/vnd.openxmlformats-officedocument.spreadsheetml.worksheet+xml"/>
  <Override PartName="/xl/tables/table40.xml" ContentType="application/vnd.openxmlformats-officedocument.spreadsheetml.table+xml"/>
  <Override PartName="/xl/worksheets/sheet42.xml" ContentType="application/vnd.openxmlformats-officedocument.spreadsheetml.worksheet+xml"/>
  <Override PartName="/xl/tables/table41.xml" ContentType="application/vnd.openxmlformats-officedocument.spreadsheetml.table+xml"/>
  <Override PartName="/xl/worksheets/sheet43.xml" ContentType="application/vnd.openxmlformats-officedocument.spreadsheetml.worksheet+xml"/>
  <Override PartName="/xl/tables/table42.xml" ContentType="application/vnd.openxmlformats-officedocument.spreadsheetml.table+xml"/>
  <Override PartName="/xl/worksheets/sheet44.xml" ContentType="application/vnd.openxmlformats-officedocument.spreadsheetml.worksheet+xml"/>
  <Override PartName="/xl/tables/table43.xml" ContentType="application/vnd.openxmlformats-officedocument.spreadsheetml.table+xml"/>
  <Override PartName="/xl/worksheets/sheet45.xml" ContentType="application/vnd.openxmlformats-officedocument.spreadsheetml.worksheet+xml"/>
  <Override PartName="/xl/tables/table44.xml" ContentType="application/vnd.openxmlformats-officedocument.spreadsheetml.table+xml"/>
  <Override PartName="/xl/worksheets/sheet46.xml" ContentType="application/vnd.openxmlformats-officedocument.spreadsheetml.worksheet+xml"/>
  <Override PartName="/xl/tables/table45.xml" ContentType="application/vnd.openxmlformats-officedocument.spreadsheetml.table+xml"/>
  <Override PartName="/xl/worksheets/sheet47.xml" ContentType="application/vnd.openxmlformats-officedocument.spreadsheetml.worksheet+xml"/>
  <Override PartName="/xl/tables/table46.xml" ContentType="application/vnd.openxmlformats-officedocument.spreadsheetml.table+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drawings/drawing2.xml" ContentType="application/vnd.openxmlformats-officedocument.drawing+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heetId="1" state="visible" r:id="rId1"/>
    <sheet name="02 Grammar" sheetId="2" state="visible" r:id="rId2"/>
    <sheet name="03 Registries" sheetId="3" state="visible" r:id="rId3"/>
    <sheet name="04 Dependency DAG" sheetId="4" state="visible" r:id="rId4"/>
    <sheet name="05 Domain Matrix" sheetId="5" state="visible" r:id="rId5"/>
    <sheet name="06 Compiler Pipeline" sheetId="6" state="visible" r:id="rId6"/>
    <sheet name="07 Physics Realization" sheetId="7" state="visible" r:id="rId7"/>
    <sheet name="08 Translation Registry" sheetId="8" state="visible" r:id="rId8"/>
    <sheet name="09 Admissibility" sheetId="9" state="visible" r:id="rId9"/>
    <sheet name="10 Research Ledger" sheetId="10" state="visible" r:id="rId10"/>
    <sheet name="11 Dashboard" sheetId="11" state="visible" r:id="rId11"/>
    <sheet name="12 Equation Registry" sheetId="12" state="visible" r:id="rId12"/>
    <sheet name="13 Master ChainLinks" sheetId="13" state="visible" r:id="rId13"/>
    <sheet name="14 Recovery Chains" sheetId="14" state="visible" r:id="rId14"/>
    <sheet name="15 Physics Math Core" sheetId="15" state="visible" r:id="rId15"/>
    <sheet name="16 Statistical Core" sheetId="16" state="visible" r:id="rId16"/>
    <sheet name="17 Quantum Core" sheetId="17" state="visible" r:id="rId17"/>
    <sheet name="18 Thermodynamic Core" sheetId="18" state="visible" r:id="rId18"/>
    <sheet name="19 NCG &amp; Gauge" sheetId="19" state="visible" r:id="rId19"/>
    <sheet name="20 Rosetta Equation Map" sheetId="20" state="visible" r:id="rId20"/>
    <sheet name="21 MDCL Closure Matrix" sheetId="21" state="visible" r:id="rId21"/>
    <sheet name="22 FULL Unification Matrix" sheetId="22" state="visible" r:id="rId22"/>
    <sheet name="23 DTC Rosetta Matrix" sheetId="23" state="visible" r:id="rId23"/>
    <sheet name="24 UMCC Hierarchy" sheetId="24" state="visible" r:id="rId24"/>
    <sheet name="25 MDCL Architecture Matrix" sheetId="25" state="visible" r:id="rId25"/>
    <sheet name="26 Recovery Unification Matrix" sheetId="26" state="visible" r:id="rId26"/>
    <sheet name="27 Domain Equation Matrix" sheetId="27" state="visible" r:id="rId27"/>
    <sheet name="28 Constant Unification Matrix" sheetId="28" state="visible" r:id="rId28"/>
    <sheet name="29 Historical Matrix Archive" sheetId="29" state="visible" r:id="rId29"/>
    <sheet name="30 Unified Dependency Chain" sheetId="30" state="visible" r:id="rId30"/>
    <sheet name="31 Source Matrix Index" sheetId="31" state="visible" r:id="rId31"/>
    <sheet name="32 MASTER Equation 174" sheetId="32" state="visible" r:id="rId32"/>
    <sheet name="33 Equation Lineage" sheetId="33" state="visible" r:id="rId33"/>
    <sheet name="34 DER Registry" sheetId="34" state="visible" r:id="rId34"/>
    <sheet name="35 Bridge Registry" sheetId="35" state="visible" r:id="rId35"/>
    <sheet name="36 Variable Registry" sheetId="36" state="visible" r:id="rId36"/>
    <sheet name="37 Constant Atlas" sheetId="37" state="visible" r:id="rId37"/>
    <sheet name="38 UQR Registry" sheetId="38" state="visible" r:id="rId38"/>
    <sheet name="39 Calculation Inputs" sheetId="39" state="visible" r:id="rId39"/>
    <sheet name="40 Calculation Engine" sheetId="40" state="visible" r:id="rId40"/>
    <sheet name="41 Status Audit" sheetId="41" state="visible" r:id="rId41"/>
    <sheet name="42 Canonical DAG" sheetId="42" state="visible" r:id="rId42"/>
    <sheet name="43 Rosetta Compiler" sheetId="43" state="visible" r:id="rId43"/>
    <sheet name="44 Source Provenance" sheetId="44" state="visible" r:id="rId44"/>
    <sheet name="45 Workbook Index" sheetId="45" state="visible" r:id="rId45"/>
    <sheet name="46 Calculation Results" sheetId="46" state="visible" r:id="rId46"/>
    <sheet name="47 Result Registry" sheetId="47" state="visible" r:id="rId47"/>
    <sheet name="48 Spectral Reconstr Audit" sheetId="48" state="visible" r:id="rId48"/>
    <sheet name="49 Arithmetic Verification" sheetId="49" state="visible" r:id="rId49"/>
    <sheet name="50 Threshold Candidate Table" sheetId="50" state="visible" r:id="rId50"/>
    <sheet name="51 OPEN-020E.2 Audit" sheetId="51" state="visible" r:id="rId51"/>
    <sheet name="52 Falsification Ledger" sheetId="52" state="visible" r:id="rId52"/>
    <sheet name="53 Proof Obligation Ledger" sheetId="53" state="visible" r:id="rId53"/>
    <sheet name="54 Closure Matrix" sheetId="54" state="visible" r:id="rId54"/>
    <sheet name="55 Canonical Dep Chain (Run)" sheetId="55" state="visible" r:id="rId55"/>
    <sheet name="56 Next Dependency" sheetId="56" state="visible" r:id="rId56"/>
    <sheet name="57 ARBS Graph Construction" sheetId="57" state="visible" r:id="rId57"/>
    <sheet name="58 Spectral Recon Audit" sheetId="58" state="visible" r:id="rId58"/>
    <sheet name="59 Full Spectral Arrays" sheetId="59" state="visible" r:id="rId59"/>
    <sheet name="60 C-004B Re-Execution" sheetId="60" state="visible" r:id="rId60"/>
    <sheet name="61 OPEN-020E.2 Re-Audit" sheetId="61" state="visible" r:id="rId61"/>
    <sheet name="62 Status Update (Run 2)" sheetId="62" state="visible" r:id="rId62"/>
    <sheet name="63 C-004C sigma Search" sheetId="63" state="visible" r:id="rId63"/>
    <sheet name="64 C-004C sigma Registry" sheetId="64" state="visible" r:id="rId64"/>
    <sheet name="65 C-004C H-Theorem Audit" sheetId="65" state="visible" r:id="rId65"/>
    <sheet name="66 C-004C IC Audit" sheetId="66" state="visible" r:id="rId66"/>
    <sheet name="67 C-004C Dimensional Audit" sheetId="67" state="visible" r:id="rId67"/>
    <sheet name="68 C-004C Target Independence" sheetId="68" state="visible" r:id="rId68"/>
    <sheet name="69 C-004C Calculations" sheetId="69" state="visible" r:id="rId69"/>
    <sheet name="70 C-004C Closure" sheetId="70" state="visible" r:id="rId70"/>
    <sheet name="71 OPEN-020E.2 Updated" sheetId="71" state="visible" r:id="rId71"/>
    <sheet name="72 C-004D Operator Registry" sheetId="72" state="visible" r:id="rId72"/>
    <sheet name="73 C-004D Spec vs Thermo" sheetId="73" state="visible" r:id="rId73"/>
    <sheet name="74 C-004D Stationary Measure" sheetId="74" state="visible" r:id="rId74"/>
    <sheet name="75 C-004D Random Walk Gen" sheetId="75" state="visible" r:id="rId75"/>
    <sheet name="76 C-004D Normalized Laplacian" sheetId="76" state="visible" r:id="rId76"/>
    <sheet name="77 C-004D Matrix Equality" sheetId="77" state="visible" r:id="rId77"/>
    <sheet name="78 C-004D Spectral Comparison" sheetId="78" state="visible" r:id="rId78"/>
    <sheet name="79 C-004D H-Theorem Compat" sheetId="79" state="visible" r:id="rId79"/>
    <sheet name="80 C-004D Time-Scale Audit" sheetId="80" state="visible" r:id="rId80"/>
    <sheet name="81 C-004D Closure" sheetId="81" state="visible" r:id="rId81"/>
    <sheet name="82 C-004D Next Dependency" sheetId="82" state="visible" r:id="rId82"/>
    <sheet name="83 C-004E Proof Obligation" sheetId="83" state="visible" r:id="rId83"/>
    <sheet name="84 C-004E Machinery Search" sheetId="84" state="visible" r:id="rId84"/>
    <sheet name="85 C-004E Answer" sheetId="85" state="visible" r:id="rId85"/>
    <sheet name="86 THM-GEN-DISTINCT-001" sheetId="86" state="visible" r:id="rId86"/>
    <sheet name="87 C-004E Closure" sheetId="87" state="visible" r:id="rId87"/>
    <sheet name="88 C-004E Next Dependency" sheetId="88" state="visible" r:id="rId88"/>
    <sheet name="89 C-004F Overview" sheetId="89" state="visible" r:id="rId89"/>
    <sheet name="90 C-004F Degree Measures" sheetId="90" state="visible" r:id="rId90"/>
    <sheet name="91 C-004F Stationary Distrib" sheetId="91" state="visible" r:id="rId91"/>
    <sheet name="92 C-004F Weighted Hilbert" sheetId="92" state="visible" r:id="rId92"/>
    <sheet name="93 C-004F Generators" sheetId="93" state="visible" r:id="rId93"/>
    <sheet name="94 C-004F Detailed Balance" sheetId="94" state="visible" r:id="rId94"/>
    <sheet name="95 C-004F Dirichlet Forms" sheetId="95" state="visible" r:id="rId95"/>
    <sheet name="96 C-004F Refinement Maps" sheetId="96" state="visible" r:id="rId96"/>
    <sheet name="97 C-004F Pushforward" sheetId="97" state="visible" r:id="rId97"/>
    <sheet name="98 C-004F Convergence" sheetId="98" state="visible" r:id="rId98"/>
    <sheet name="99 C-004F Continuum Recovery" sheetId="99" state="visible" r:id="rId99"/>
    <sheet name="100 C-004F FP Bridge" sheetId="100" state="visible" r:id="rId100"/>
    <sheet name="101 C-004F Entropy Production" sheetId="101" state="visible" r:id="rId101"/>
    <sheet name="102 C-004F Target Independence" sheetId="102" state="visible" r:id="rId102"/>
    <sheet name="103 C-004F Theorem Registry" sheetId="103" state="visible" r:id="rId103"/>
    <sheet name="104 C-004F Closure Matrix" sheetId="104" state="visible" r:id="rId104"/>
    <sheet name="105 C-004F Next Dependency" sheetId="105" state="visible" r:id="rId105"/>
    <sheet name="106 C-004G Recovered Law" sheetId="106" state="visible" r:id="rId106"/>
    <sheet name="107 C-004G Compatibility" sheetId="107" state="visible" r:id="rId107"/>
    <sheet name="108 C-004G Diameter Calc" sheetId="108" state="visible" r:id="rId108"/>
    <sheet name="109 C-004G Closure" sheetId="109" state="visible" r:id="rId109"/>
    <sheet name="110 C-004H Overview" sheetId="110" state="visible" r:id="rId110"/>
    <sheet name="111 C-004H Source Search" sheetId="111" state="visible" r:id="rId111"/>
    <sheet name="112 C-004H Refinement" sheetId="112" state="visible" r:id="rId112"/>
    <sheet name="113 C-004H Edge Lengths" sheetId="113" state="visible" r:id="rId113"/>
    <sheet name="114 C-004H Edge Scaling" sheetId="114" state="visible" r:id="rId114"/>
    <sheet name="115 C-004H Metric Diameter" sheetId="115" state="visible" r:id="rId115"/>
    <sheet name="116 C-004H Measure" sheetId="116" state="visible" r:id="rId116"/>
    <sheet name="117 C-004H Dirichlet" sheetId="117" state="visible" r:id="rId117"/>
    <sheet name="118 C-004H Continuum Compat" sheetId="118" state="visible" r:id="rId118"/>
    <sheet name="119 C-004H Boundary" sheetId="119" state="visible" r:id="rId119"/>
    <sheet name="120 C-004H Closure Ledger" sheetId="120" state="visible" r:id="rId120"/>
    <sheet name="121 C-004H Next Dependency" sheetId="121" state="visible" r:id="rId121"/>
    <sheet name="122 C-004I Overview" sheetId="122" state="visible" r:id="rId122"/>
    <sheet name="123 C-004I Source Metric" sheetId="123" state="visible" r:id="rId123"/>
    <sheet name="124 C-004I Diffusion Distance" sheetId="124" state="visible" r:id="rId124"/>
    <sheet name="125 C-004I Eff Resistance" sheetId="125" state="visible" r:id="rId125"/>
    <sheet name="126 C-004I Closed Form" sheetId="126" state="visible" r:id="rId126"/>
    <sheet name="127 C-004I Refinement Map" sheetId="127" state="visible" r:id="rId127"/>
    <sheet name="128 C-004I Metric Invariance" sheetId="128" state="visible" r:id="rId128"/>
    <sheet name="129 C-004I Error Scaling" sheetId="129" state="visible" r:id="rId129"/>
    <sheet name="130 C-004I Degree Measure" sheetId="130" state="visible" r:id="rId130"/>
    <sheet name="131 C-004I Measure Pushforward" sheetId="131" state="visible" r:id="rId131"/>
    <sheet name="132 C-004I Wasserstein" sheetId="132" state="visible" r:id="rId132"/>
    <sheet name="133 C-004I Renormalization" sheetId="133" state="visible" r:id="rId133"/>
    <sheet name="134 C-004I Convergence" sheetId="134" state="visible" r:id="rId134"/>
    <sheet name="135 C-004I Dirichlet Form" sheetId="135" state="visible" r:id="rId135"/>
    <sheet name="136 C-004I Continuum Dimension" sheetId="136" state="visible" r:id="rId136"/>
    <sheet name="137 C-004I Target Independence" sheetId="137" state="visible" r:id="rId137"/>
    <sheet name="138 C-004I Falsification Ledger" sheetId="138" state="visible" r:id="rId138"/>
    <sheet name="139 C-004I Closure Matrix" sheetId="139" state="visible" r:id="rId139"/>
    <sheet name="140 C-004I MDCL" sheetId="140" state="visible" r:id="rId140"/>
    <sheet name="141 C-004I Next Dependency" sheetId="141" state="visible" r:id="rId141"/>
    <sheet name="142 ARBS-ONTO-001 Overview" sheetId="142" state="visible" r:id="rId142"/>
    <sheet name="144 ARBS-ONTO-002 Acronym" sheetId="143" state="visible" r:id="rId143"/>
    <sheet name="145 ARBS-ONTO-003 Source Search" sheetId="144" state="visible" r:id="rId144"/>
    <sheet name="146 ARBS-ONTO-004 Provenance" sheetId="145" state="visible" r:id="rId145"/>
    <sheet name="147 ARBS-ONTO-005 Abelian" sheetId="146" state="visible" r:id="rId146"/>
    <sheet name="148 ARBS-ONTO-006 Recursive" sheetId="147" state="visible" r:id="rId147"/>
    <sheet name="149 ARBS-ONTO-007 Bipartite" sheetId="148" state="visible" r:id="rId148"/>
    <sheet name="150 ARBS-ONTO-008 Shell" sheetId="149" state="visible" r:id="rId149"/>
    <sheet name="151 ARBS-ONTO-009 Type System" sheetId="150" state="visible" r:id="rId150"/>
    <sheet name="152 ARBS-ONTO-010 Dependency" sheetId="151" state="visible" r:id="rId151"/>
    <sheet name="153 ARBS-ONTO-011 Hypergraph" sheetId="152" state="visible" r:id="rId152"/>
    <sheet name="154 ARBS-ONTO-012 Full Object" sheetId="153" state="visible" r:id="rId153"/>
    <sheet name="155 ARBS-ONTO-013 Projection" sheetId="154" state="visible" r:id="rId154"/>
    <sheet name="156 ARBS-ONTO-014 Info Loss" sheetId="155" state="visible" r:id="rId155"/>
    <sheet name="157 ARBS-ONTO-015 Spectral" sheetId="156" state="visible" r:id="rId156"/>
    <sheet name="158 ARBS-ONTO-016 Reclassify" sheetId="157" state="visible" r:id="rId157"/>
    <sheet name="159 ARBS-ONTO-017 Target Indep" sheetId="158" state="visible" r:id="rId158"/>
    <sheet name="160 ARBS-ONTO-018 Theorems" sheetId="159" state="visible" r:id="rId159"/>
    <sheet name="161 ARBS-ONTO-019 Falsification" sheetId="160" state="visible" r:id="rId160"/>
    <sheet name="162 ARBS-ONTO-020 MDCL" sheetId="161" state="visible" r:id="rId161"/>
    <sheet name="163 ARBS-ONTO-021 Closure" sheetId="162" state="visible" r:id="rId162"/>
    <sheet name="164 ARBS-ONTO-022 Next Dep" sheetId="163" state="visible" r:id="rId163"/>
    <sheet name="165 ARBS-GRAPH-001 Overview" sheetId="164" state="visible" r:id="rId164"/>
    <sheet name="166 ARBS-GRAPH-002 Source" sheetId="165" state="visible" r:id="rId165"/>
    <sheet name="167 ARBS-GRAPH-003 Vertex Set" sheetId="166" state="visible" r:id="rId166"/>
    <sheet name="168 ARBS-GRAPH-004 Edge Set" sheetId="167" state="visible" r:id="rId167"/>
    <sheet name="169 ARBS-GRAPH-005 Weights" sheetId="168" state="visible" r:id="rId168"/>
    <sheet name="170 ARBS-GRAPH-006 Bipartition" sheetId="169" state="visible" r:id="rId169"/>
    <sheet name="171 ARBS-GRAPH-007 Dependency" sheetId="170" state="visible" r:id="rId170"/>
    <sheet name="172 ARBS-GRAPH-008 Hypergraph" sheetId="171" state="visible" r:id="rId171"/>
    <sheet name="173 ARBS-GRAPH-009 Canonical" sheetId="172" state="visible" r:id="rId172"/>
    <sheet name="174 ARBS-GRAPH-010 Adjacency" sheetId="173" state="visible" r:id="rId173"/>
    <sheet name="175 ARBS-GRAPH-011 Laplacian" sheetId="174" state="visible" r:id="rId174"/>
    <sheet name="176 ARBS-GRAPH-012 Comparison" sheetId="175" state="visible" r:id="rId175"/>
    <sheet name="177 ARBS-GRAPH-013 Invariants" sheetId="176" state="visible" r:id="rId176"/>
    <sheet name="178 ARBS-GRAPH-014 Spectral" sheetId="177" state="visible" r:id="rId177"/>
    <sheet name="179 ARBS-GRAPH-015 Checkpoint" sheetId="178" state="visible" r:id="rId178"/>
    <sheet name="180 ARBS-GRAPH-016 Reclassify" sheetId="179" state="visible" r:id="rId179"/>
    <sheet name="181 ARBS-GRAPH-017 Target Indep" sheetId="180" state="visible" r:id="rId180"/>
    <sheet name="182 ARBS-GRAPH-018 Theorems" sheetId="181" state="visible" r:id="rId181"/>
    <sheet name="183 ARBS-GRAPH-019 Falsif" sheetId="182" state="visible" r:id="rId182"/>
    <sheet name="184 ARBS-GRAPH-020 MDCL" sheetId="183" state="visible" r:id="rId183"/>
    <sheet name="185 ARBS-GRAPH-021 Closure" sheetId="184" state="visible" r:id="rId184"/>
    <sheet name="186 ARBS-GRAPH-022 Next Dep" sheetId="185" state="visible" r:id="rId185"/>
  </sheets>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b val="1"/>
      <color rgb="00FFFFFF"/>
      <sz val="20"/>
    </font>
    <font>
      <i val="1"/>
      <color rgb="006B7280"/>
      <sz val="10"/>
    </font>
    <font>
      <b val="1"/>
      <color rgb="00FFFFFF"/>
    </font>
    <font>
      <b val="1"/>
      <color rgb="0017233C"/>
      <sz val="14"/>
    </font>
    <font>
      <name val="Aptos"/>
      <b val="1"/>
      <color rgb="00FFFFFF"/>
      <sz val="10"/>
    </font>
    <font>
      <name val="Aptos"/>
      <family val="2"/>
      <color theme="1"/>
      <sz val="11"/>
      <scheme val="minor"/>
    </font>
    <font>
      <name val="Aptos"/>
      <b val="1"/>
      <color rgb="0017233C"/>
      <sz val="14"/>
    </font>
    <font>
      <name val="Aptos"/>
      <b val="1"/>
      <color rgb="00FFFFFF"/>
      <sz val="20"/>
    </font>
    <font>
      <name val="Aptos"/>
      <i val="1"/>
      <color rgb="006B7280"/>
      <sz val="10"/>
    </font>
    <font>
      <b val="1"/>
      <color rgb="0017233C"/>
    </font>
    <font>
      <color rgb="00202938"/>
    </font>
    <font>
      <b val="1"/>
      <color rgb="00FFFFFF"/>
      <sz val="18"/>
    </font>
    <font>
      <i val="1"/>
      <color rgb="006B7280"/>
    </font>
    <font>
      <name val="Arial"/>
      <b val="1"/>
      <sz val="12"/>
    </font>
    <font>
      <name val="Arial"/>
      <i val="1"/>
      <sz val="9"/>
    </font>
    <font>
      <name val="Arial"/>
      <b val="1"/>
      <color rgb="00FFFFFF"/>
      <sz val="10"/>
    </font>
    <font>
      <name val="Arial"/>
      <sz val="10"/>
    </font>
    <font>
      <name val="Arial"/>
      <b val="1"/>
      <color rgb="00C00000"/>
      <sz val="11"/>
    </font>
    <font>
      <name val="Arial"/>
      <b val="1"/>
    </font>
    <font>
      <name val="Arial"/>
      <b val="1"/>
      <color rgb="00C00000"/>
    </font>
    <font>
      <b val="1"/>
    </font>
    <font>
      <b val="1"/>
      <color rgb="00C00000"/>
    </font>
    <font>
      <b val="1"/>
      <sz val="12"/>
    </font>
    <font>
      <b val="1"/>
      <color rgb="00C00000"/>
      <sz val="14"/>
    </font>
    <font>
      <b val="1"/>
      <color rgb="00C00000"/>
      <sz val="13"/>
    </font>
    <font>
      <b val="1"/>
      <sz val="11"/>
    </font>
    <font>
      <b val="1"/>
      <color rgb="001F7A1F"/>
      <sz val="12"/>
    </font>
    <font>
      <b val="1"/>
      <color rgb="00C00000"/>
      <sz val="12"/>
    </font>
  </fonts>
  <fills count="5">
    <fill>
      <patternFill/>
    </fill>
    <fill>
      <patternFill patternType="gray125"/>
    </fill>
    <fill>
      <patternFill patternType="solid">
        <fgColor rgb="0017233C"/>
      </patternFill>
    </fill>
    <fill>
      <patternFill patternType="solid">
        <fgColor rgb="002F5D8C"/>
      </patternFill>
    </fill>
    <fill>
      <patternFill patternType="solid">
        <fgColor rgb="004472C4"/>
      </patternFill>
    </fill>
  </fills>
  <borders count="2">
    <border>
      <left/>
      <right/>
      <top/>
      <bottom/>
      <diagonal/>
    </border>
    <border>
      <bottom style="thin">
        <color rgb="00D1D5DB"/>
      </bottom>
    </border>
  </borders>
  <cellStyleXfs count="1">
    <xf numFmtId="0" fontId="0" fillId="0" borderId="0"/>
  </cellStyleXfs>
  <cellXfs count="41">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5" fillId="3" borderId="1" applyAlignment="1" pivotButton="0" quotePrefix="0" xfId="0">
      <alignment vertical="center" wrapText="1"/>
    </xf>
    <xf numFmtId="0" fontId="6" fillId="0" borderId="1" applyAlignment="1" pivotButton="0" quotePrefix="0" xfId="0">
      <alignment vertical="top" wrapText="1"/>
    </xf>
    <xf numFmtId="0" fontId="7" fillId="0" borderId="0" pivotButton="0" quotePrefix="0" xfId="0"/>
    <xf numFmtId="0" fontId="6" fillId="0" borderId="0" pivotButton="0" quotePrefix="0" xfId="0"/>
    <xf numFmtId="0" fontId="4" fillId="0" borderId="0" pivotButton="0" quotePrefix="0" xfId="0"/>
    <xf numFmtId="0" fontId="11" fillId="0" borderId="0" pivotButton="0" quotePrefix="0" xfId="0"/>
    <xf numFmtId="0" fontId="8" fillId="2" borderId="0" applyAlignment="1" pivotButton="0" quotePrefix="0" xfId="0">
      <alignment vertical="center"/>
    </xf>
    <xf numFmtId="0" fontId="9" fillId="0" borderId="0" applyAlignment="1" pivotButton="0" quotePrefix="0" xfId="0">
      <alignment vertical="top" wrapText="1"/>
    </xf>
    <xf numFmtId="0" fontId="3" fillId="3" borderId="1" applyAlignment="1" pivotButton="0" quotePrefix="0" xfId="0">
      <alignment vertical="center" wrapText="1"/>
    </xf>
    <xf numFmtId="0" fontId="2" fillId="0" borderId="0" applyAlignment="1" pivotButton="0" quotePrefix="0" xfId="0">
      <alignment wrapText="1"/>
    </xf>
    <xf numFmtId="0" fontId="1" fillId="2" borderId="0" pivotButton="0" quotePrefix="0" xfId="0"/>
    <xf numFmtId="0" fontId="3" fillId="3" borderId="1" applyAlignment="1" pivotButton="0" quotePrefix="0" xfId="0">
      <alignment wrapText="1"/>
    </xf>
    <xf numFmtId="0" fontId="0" fillId="0" borderId="1" applyAlignment="1" pivotButton="0" quotePrefix="0" xfId="0">
      <alignment vertical="top" wrapText="1"/>
    </xf>
    <xf numFmtId="0" fontId="10" fillId="0" borderId="0" pivotButton="0" quotePrefix="0" xfId="0"/>
    <xf numFmtId="0" fontId="0" fillId="0" borderId="0" applyAlignment="1" pivotButton="0" quotePrefix="0" xfId="0">
      <alignment wrapText="1"/>
    </xf>
    <xf numFmtId="0" fontId="12" fillId="2" borderId="0" pivotButton="0" quotePrefix="0" xfId="0"/>
    <xf numFmtId="0" fontId="13" fillId="0" borderId="0" pivotButton="0" quotePrefix="0" xfId="0"/>
    <xf numFmtId="0" fontId="3" fillId="3" borderId="1" pivotButton="0" quotePrefix="0" xfId="0"/>
    <xf numFmtId="0" fontId="14" fillId="0" borderId="0" pivotButton="0" quotePrefix="0" xfId="0"/>
    <xf numFmtId="0" fontId="15" fillId="0" borderId="0" applyAlignment="1" pivotButton="0" quotePrefix="0" xfId="0">
      <alignment vertical="top" wrapText="1"/>
    </xf>
    <xf numFmtId="0" fontId="16" fillId="4" borderId="0" pivotButton="0" quotePrefix="0" xfId="0"/>
    <xf numFmtId="0" fontId="17" fillId="0" borderId="0" applyAlignment="1" pivotButton="0" quotePrefix="0" xfId="0">
      <alignment vertical="top" wrapText="1"/>
    </xf>
    <xf numFmtId="0" fontId="17" fillId="0" borderId="0" pivotButton="0" quotePrefix="0" xfId="0"/>
    <xf numFmtId="0" fontId="18" fillId="0" borderId="0" pivotButton="0" quotePrefix="0" xfId="0"/>
    <xf numFmtId="0" fontId="19" fillId="0" borderId="0" pivotButton="0" quotePrefix="0" xfId="0"/>
    <xf numFmtId="0" fontId="20" fillId="0" borderId="0" pivotButton="0" quotePrefix="0" xfId="0"/>
    <xf numFmtId="0" fontId="14" fillId="0" borderId="0" applyAlignment="1" pivotButton="0" quotePrefix="0" xfId="0">
      <alignment vertical="top" wrapText="1"/>
    </xf>
    <xf numFmtId="0" fontId="21" fillId="0" borderId="0" pivotButton="0" quotePrefix="0" xfId="0"/>
    <xf numFmtId="0" fontId="21" fillId="0" borderId="0" applyAlignment="1" pivotButton="0" quotePrefix="0" xfId="0">
      <alignment vertical="top" wrapText="1"/>
    </xf>
    <xf numFmtId="0" fontId="22" fillId="0" borderId="0" pivotButton="0" quotePrefix="0" xfId="0"/>
    <xf numFmtId="0" fontId="23" fillId="0" borderId="0" pivotButton="0" quotePrefix="0" xfId="0"/>
    <xf numFmtId="0" fontId="24" fillId="0" borderId="0" pivotButton="0" quotePrefix="0" xfId="0"/>
    <xf numFmtId="0" fontId="0" fillId="0" borderId="0" applyAlignment="1" pivotButton="0" quotePrefix="0" xfId="0">
      <alignment vertical="top" wrapText="1"/>
    </xf>
    <xf numFmtId="0" fontId="22" fillId="0" borderId="0" applyAlignment="1" pivotButton="0" quotePrefix="0" xfId="0">
      <alignment vertical="top" wrapText="1"/>
    </xf>
    <xf numFmtId="0" fontId="25" fillId="0" borderId="0" pivotButton="0" quotePrefix="0" xfId="0"/>
    <xf numFmtId="0" fontId="26" fillId="0" borderId="0" pivotButton="0" quotePrefix="0" xfId="0"/>
    <xf numFmtId="0" fontId="27" fillId="0" borderId="0" pivotButton="0" quotePrefix="0" xfId="0"/>
    <xf numFmtId="0" fontId="28" fillId="0" borderId="0" applyAlignment="1" pivotButton="0" quotePrefix="0" xfId="0">
      <alignment vertical="top" wrapText="1"/>
    </xf>
  </cellXfs>
  <cellStyles count="1">
    <cellStyle name="Normal" xfId="0" builtinId="0" hidden="0"/>
  </cellStyles>
  <dxfs count="1">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styles" Target="styles.xml" Id="rId186" /><Relationship Type="http://schemas.openxmlformats.org/officeDocument/2006/relationships/theme" Target="theme/theme1.xml" Id="rId187" /></Relationships>
</file>

<file path=xl/charts/chart1.xml><?xml version="1.0" encoding="utf-8"?>
<chartSpace xmlns:a="http://schemas.openxmlformats.org/drawingml/2006/main" xmlns="http://schemas.openxmlformats.org/drawingml/2006/chart">
  <chart>
    <title>
      <tx>
        <rich>
          <a:bodyPr/>
          <a:p>
            <a:pPr>
              <a:defRPr/>
            </a:pPr>
            <a:r>
              <a:t>Canonical Rosetta Layer Coverage</a:t>
            </a:r>
          </a:p>
        </rich>
      </tx>
    </title>
    <plotArea>
      <barChart>
        <barDir val="col"/>
        <grouping val="clustered"/>
        <ser>
          <idx val="0"/>
          <order val="0"/>
          <tx>
            <strRef>
              <f>'11 Dashboard'!B16</f>
            </strRef>
          </tx>
          <spPr>
            <a:ln>
              <a:prstDash val="solid"/>
            </a:ln>
          </spPr>
          <cat>
            <numRef>
              <f>'11 Dashboard'!$A$17:$A$21</f>
            </numRef>
          </cat>
          <val>
            <numRef>
              <f>'11 Dashboard'!$B$17:$B$21</f>
            </numRef>
          </val>
        </ser>
        <gapWidth val="150"/>
        <axId val="10"/>
        <axId val="100"/>
      </barChart>
      <catAx>
        <axId val="10"/>
        <scaling>
          <orientation val="minMax"/>
        </scaling>
        <axPos val="l"/>
        <title>
          <tx>
            <rich>
              <a:bodyPr/>
              <a:p>
                <a:pPr>
                  <a:defRPr/>
                </a:pPr>
                <a:r>
                  <a:t>Domain</a:t>
                </a:r>
              </a:p>
            </rich>
          </tx>
        </title>
        <majorTickMark val="none"/>
        <minorTickMark val="none"/>
        <crossAx val="100"/>
        <lblOffset val="100"/>
      </catAx>
      <valAx>
        <axId val="100"/>
        <scaling>
          <orientation val="minMax"/>
        </scaling>
        <axPos val="l"/>
        <majorGridlines/>
        <title>
          <tx>
            <rich>
              <a:bodyPr/>
              <a:p>
                <a:pPr>
                  <a:defRPr/>
                </a:pPr>
                <a:r>
                  <a:t>Layers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14</row>
      <rowOff>0</rowOff>
    </from>
    <ext cx="4680000" cy="25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7648575" cy="742950"/>
    <pic>
      <nvPicPr>
        <cNvPr id="1" name="Image 1" descr="Picture"/>
        <cNvPicPr/>
      </nvPicPr>
      <blipFill>
        <a:blip cstate="print" r:embed="rId1"/>
        <a:stretch>
          <a:fillRect/>
        </a:stretch>
      </blipFill>
      <spPr>
        <a:prstGeom prst="rect"/>
        <a:ln>
          <a:prstDash val="solid"/>
        </a:ln>
      </spPr>
    </pic>
    <clientData/>
  </oneCellAnchor>
  <oneCellAnchor>
    <from>
      <col>0</col>
      <colOff>0</colOff>
      <row>15</row>
      <rowOff>0</rowOff>
    </from>
    <ext cx="7562850" cy="847725"/>
    <pic>
      <nvPicPr>
        <cNvPr id="2" name="Image 2" descr="Picture"/>
        <cNvPicPr/>
      </nvPicPr>
      <blipFill>
        <a:blip cstate="print" r:embed="rId2"/>
        <a:stretch>
          <a:fillRect/>
        </a:stretch>
      </blipFill>
      <spPr>
        <a:prstGeom prst="rect"/>
        <a:ln>
          <a:prstDash val="solid"/>
        </a:ln>
      </spPr>
    </pic>
    <clientData/>
  </oneCellAnchor>
  <oneCellAnchor>
    <from>
      <col>0</col>
      <colOff>0</colOff>
      <row>25</row>
      <rowOff>0</rowOff>
    </from>
    <ext cx="11925300" cy="809625"/>
    <pic>
      <nvPicPr>
        <cNvPr id="3" name="Image 3" descr="Picture"/>
        <cNvPicPr/>
      </nvPicPr>
      <blipFill>
        <a:blip cstate="print" r:embed="rId3"/>
        <a:stretch>
          <a:fillRect/>
        </a:stretch>
      </blipFill>
      <spPr>
        <a:prstGeom prst="rect"/>
        <a:ln>
          <a:prstDash val="solid"/>
        </a:ln>
      </spPr>
    </pic>
    <clientData/>
  </oneCellAnchor>
</wsDr>
</file>

<file path=xl/tables/table1.xml><?xml version="1.0" encoding="utf-8"?>
<table xmlns="http://schemas.openxmlformats.org/spreadsheetml/2006/main" id="1" name="ArchitectureTable" displayName="ArchitectureTable" ref="A16:D29" headerRowCount="1">
  <autoFilter ref="A16:D29"/>
  <tableColumns count="4">
    <tableColumn id="1" name="Layer"/>
    <tableColumn id="2" name="Object"/>
    <tableColumn id="3" name="Role"/>
    <tableColumn id="4" name="Dependency"/>
  </tableColumns>
  <tableStyleInfo name="TableStyleMedium2" showFirstColumn="0" showLastColumn="0" showRowStripes="1" showColumnStripes="0"/>
</table>
</file>

<file path=xl/tables/table2.xml><?xml version="1.0" encoding="utf-8"?>
<table xmlns="http://schemas.openxmlformats.org/spreadsheetml/2006/main" id="2" name="GrammarTable" displayName="GrammarTable" ref="A5:G11" headerRowCount="1">
  <autoFilter ref="A5:G11"/>
  <tableColumns count="7">
    <tableColumn id="1" name="ID"/>
    <tableColumn id="2" name="Primitive"/>
    <tableColumn id="3" name="Formal expression"/>
    <tableColumn id="4" name="Interpretation"/>
    <tableColumn id="5" name="Type"/>
    <tableColumn id="6" name="Depends on"/>
    <tableColumn id="7" name="Status"/>
  </tableColumns>
  <tableStyleInfo name="TableStyleMedium2" showFirstColumn="0" showLastColumn="0" showRowStripes="1" showColumnStripes="0"/>
</table>
</file>

<file path=xl/tables/table3.xml><?xml version="1.0" encoding="utf-8"?>
<table xmlns="http://schemas.openxmlformats.org/spreadsheetml/2006/main" id="3" name="RegistryTable" displayName="RegistryTable" ref="A5:H15" headerRowCount="1">
  <autoFilter ref="A5:H15"/>
  <tableColumns count="8">
    <tableColumn id="1" name="Registry ID"/>
    <tableColumn id="2" name="Registry"/>
    <tableColumn id="3" name="Object"/>
    <tableColumn id="4" name="Canonical form"/>
    <tableColumn id="5" name="Role"/>
    <tableColumn id="6" name="Upstream dependency"/>
    <tableColumn id="7" name="Status"/>
    <tableColumn id="8" name="Notes"/>
  </tableColumns>
  <tableStyleInfo name="TableStyleMedium2" showFirstColumn="0" showLastColumn="0" showRowStripes="1" showColumnStripes="0"/>
</table>
</file>

<file path=xl/tables/table4.xml><?xml version="1.0" encoding="utf-8"?>
<table xmlns="http://schemas.openxmlformats.org/spreadsheetml/2006/main" id="4" name="DAGTable" displayName="DAGTable" ref="A5:G17" headerRowCount="1">
  <autoFilter ref="A5:G17"/>
  <tableColumns count="7">
    <tableColumn id="1" name="Link ID"/>
    <tableColumn id="2" name="Upstream"/>
    <tableColumn id="3" name="Relation"/>
    <tableColumn id="4" name="Downstream"/>
    <tableColumn id="5" name="Class"/>
    <tableColumn id="6" name="Status"/>
    <tableColumn id="7" name="Interpretation"/>
  </tableColumns>
  <tableStyleInfo name="TableStyleMedium2" showFirstColumn="0" showLastColumn="0" showRowStripes="1" showColumnStripes="0"/>
</table>
</file>

<file path=xl/tables/table5.xml><?xml version="1.0" encoding="utf-8"?>
<table xmlns="http://schemas.openxmlformats.org/spreadsheetml/2006/main" id="5" name="DomainTable" displayName="DomainTable" ref="A5:H17" headerRowCount="1">
  <autoFilter ref="A5:H17"/>
  <tableColumns count="8">
    <tableColumn id="1" name="Rosetta Layer"/>
    <tableColumn id="2" name="Universal object"/>
    <tableColumn id="3" name="Physics"/>
    <tableColumn id="4" name="Biology"/>
    <tableColumn id="5" name="Chemistry"/>
    <tableColumn id="6" name="Ecology"/>
    <tableColumn id="7" name="Institutional systems"/>
    <tableColumn id="8" name="Translation rule"/>
  </tableColumns>
  <tableStyleInfo name="TableStyleMedium2" showFirstColumn="0" showLastColumn="0" showRowStripes="1" showColumnStripes="0"/>
</table>
</file>

<file path=xl/tables/table6.xml><?xml version="1.0" encoding="utf-8"?>
<table xmlns="http://schemas.openxmlformats.org/spreadsheetml/2006/main" id="6" name="PipelineTable" displayName="PipelineTable" ref="A5:H16" headerRowCount="1">
  <autoFilter ref="A5:H16"/>
  <tableColumns count="8">
    <tableColumn id="1" name="Stage"/>
    <tableColumn id="2" name="Compiler operation"/>
    <tableColumn id="3" name="Input"/>
    <tableColumn id="4" name="Output"/>
    <tableColumn id="5" name="Proof / audit obligation"/>
    <tableColumn id="6" name="Dependency"/>
    <tableColumn id="7" name="Status"/>
    <tableColumn id="8" name="Failure condition"/>
  </tableColumns>
  <tableStyleInfo name="TableStyleMedium2" showFirstColumn="0" showLastColumn="0" showRowStripes="1" showColumnStripes="0"/>
</table>
</file>

<file path=xl/tables/table7.xml><?xml version="1.0" encoding="utf-8"?>
<table xmlns="http://schemas.openxmlformats.org/spreadsheetml/2006/main" id="7" name="PhysicsTable" displayName="PhysicsTable" ref="A5:H20" headerRowCount="1">
  <autoFilter ref="A5:H20"/>
  <tableColumns count="8">
    <tableColumn id="1" name="Layer"/>
    <tableColumn id="2" name="Object"/>
    <tableColumn id="3" name="Canonical expression"/>
    <tableColumn id="4" name="Role"/>
    <tableColumn id="5" name="Upstream"/>
    <tableColumn id="6" name="State"/>
    <tableColumn id="7" name="Admissibility"/>
    <tableColumn id="8" name="Notes"/>
  </tableColumns>
  <tableStyleInfo name="TableStyleMedium2" showFirstColumn="0" showLastColumn="0" showRowStripes="1" showColumnStripes="0"/>
</table>
</file>

<file path=xl/tables/table8.xml><?xml version="1.0" encoding="utf-8"?>
<table xmlns="http://schemas.openxmlformats.org/spreadsheetml/2006/main" id="8" name="TranslationTable" displayName="TranslationTable" ref="A5:H14" headerRowCount="1">
  <autoFilter ref="A5:H14"/>
  <tableColumns count="8">
    <tableColumn id="1" name="Translation ID"/>
    <tableColumn id="2" name="Domain"/>
    <tableColumn id="3" name="Domain object"/>
    <tableColumn id="4" name="Rosetta object"/>
    <tableColumn id="5" name="Forward mapping"/>
    <tableColumn id="6" name="Reverse mapping"/>
    <tableColumn id="7" name="Status"/>
    <tableColumn id="8" name="Invariant preserved"/>
  </tableColumns>
  <tableStyleInfo name="TableStyleMedium2" showFirstColumn="0" showLastColumn="0" showRowStripes="1" showColumnStripes="0"/>
</table>
</file>

<file path=xl/tables/table9.xml><?xml version="1.0" encoding="utf-8"?>
<table xmlns="http://schemas.openxmlformats.org/spreadsheetml/2006/main" id="9" name="StatusTable" displayName="StatusTable" ref="A5:G15" headerRowCount="1">
  <autoFilter ref="A5:G15"/>
  <tableColumns count="7">
    <tableColumn id="1" name="Status"/>
    <tableColumn id="2" name="Active?"/>
    <tableColumn id="3" name="Definition"/>
    <tableColumn id="4" name="Propagation rule"/>
    <tableColumn id="5" name="Example"/>
    <tableColumn id="6" name="Audit action"/>
    <tableColumn id="7" name="Canonical use"/>
  </tableColumns>
  <tableStyleInfo name="TableStyleMedium2" showFirstColumn="0" showLastColumn="0" showRowStripes="1" showColumnStripes="0"/>
</table>
</file>

<file path=xl/tables/table10.xml><?xml version="1.0" encoding="utf-8"?>
<table xmlns="http://schemas.openxmlformats.org/spreadsheetml/2006/main" id="10" name="LedgerTable" displayName="LedgerTable" ref="A5:I12" headerRowCount="1">
  <autoFilter ref="A5:I12"/>
  <tableColumns count="9">
    <tableColumn id="1" name="ID"/>
    <tableColumn id="2" name="Object / theorem"/>
    <tableColumn id="3" name="Formal statement"/>
    <tableColumn id="4" name="Dependencies"/>
    <tableColumn id="5" name="Status"/>
    <tableColumn id="6" name="Admissibility"/>
    <tableColumn id="7" name="Next action"/>
    <tableColumn id="8" name="Evidence"/>
    <tableColumn id="9" name="Notes"/>
  </tableColumns>
  <tableStyleInfo name="TableStyleMedium2" showFirstColumn="0" showLastColumn="0" showRowStripes="1" showColumnStripes="0"/>
</table>
</file>

<file path=xl/tables/table11.xml><?xml version="1.0" encoding="utf-8"?>
<table xmlns="http://schemas.openxmlformats.org/spreadsheetml/2006/main" id="11" name="EquationRegistryTable" displayName="EquationRegistryTable" ref="A5:I74" headerRowCount="1">
  <autoFilter ref="A5:I74"/>
  <tableColumns count="9">
    <tableColumn id="1" name="EQ ID"/>
    <tableColumn id="2" name="Layer"/>
    <tableColumn id="3" name="Equation"/>
    <tableColumn id="4" name="Meaning"/>
    <tableColumn id="5" name="Dependencies"/>
    <tableColumn id="6" name="Branch"/>
    <tableColumn id="7" name="Status"/>
    <tableColumn id="8" name="Type"/>
    <tableColumn id="9" name="Notes"/>
  </tableColumns>
  <tableStyleInfo name="TableStyleMedium2" showFirstColumn="0" showLastColumn="0" showRowStripes="1"/>
</table>
</file>

<file path=xl/tables/table12.xml><?xml version="1.0" encoding="utf-8"?>
<table xmlns="http://schemas.openxmlformats.org/spreadsheetml/2006/main" id="12" name="MasterChainLinkTable" displayName="MasterChainLinkTable" ref="A5:I46" headerRowCount="1">
  <autoFilter ref="A5:I46"/>
  <tableColumns count="9">
    <tableColumn id="1" name="CL ID"/>
    <tableColumn id="2" name="Upstream"/>
    <tableColumn id="3" name="Relation"/>
    <tableColumn id="4" name="Downstream"/>
    <tableColumn id="5" name="Layer"/>
    <tableColumn id="6" name="Formal bridge"/>
    <tableColumn id="7" name="Status"/>
    <tableColumn id="8" name="Branch"/>
    <tableColumn id="9" name="Interpretation"/>
  </tableColumns>
  <tableStyleInfo name="TableStyleMedium2" showFirstColumn="0" showLastColumn="0" showRowStripes="1"/>
</table>
</file>

<file path=xl/tables/table13.xml><?xml version="1.0" encoding="utf-8"?>
<table xmlns="http://schemas.openxmlformats.org/spreadsheetml/2006/main" id="13" name="RecoveryChainsTable" displayName="RecoveryChainsTable" ref="A5:H17" headerRowCount="1">
  <autoFilter ref="A5:H17"/>
  <tableColumns count="8">
    <tableColumn id="1" name="Branch"/>
    <tableColumn id="2" name="Chain ID"/>
    <tableColumn id="3" name="Canonical chain"/>
    <tableColumn id="4" name="Key equation(s)"/>
    <tableColumn id="5" name="Status"/>
    <tableColumn id="6" name="Dependency class"/>
    <tableColumn id="7" name="Start"/>
    <tableColumn id="8" name="End"/>
  </tableColumns>
  <tableStyleInfo name="TableStyleMedium2" showFirstColumn="0" showLastColumn="0" showRowStripes="1"/>
</table>
</file>

<file path=xl/tables/table14.xml><?xml version="1.0" encoding="utf-8"?>
<table xmlns="http://schemas.openxmlformats.org/spreadsheetml/2006/main" id="14" name="PhysicsCoreTable" displayName="PhysicsCoreTable" ref="A5:H21" headerRowCount="1">
  <autoFilter ref="A5:H21"/>
  <tableColumns count="8">
    <tableColumn id="1" name="ID"/>
    <tableColumn id="2" name="Stage"/>
    <tableColumn id="3" name="Canonical equation"/>
    <tableColumn id="4" name="Dependency"/>
    <tableColumn id="5" name="Object recovered"/>
    <tableColumn id="6" name="Status"/>
    <tableColumn id="7" name="Representation"/>
    <tableColumn id="8" name="Notes"/>
  </tableColumns>
  <tableStyleInfo name="TableStyleMedium2" showFirstColumn="0" showLastColumn="0" showRowStripes="1"/>
</table>
</file>

<file path=xl/tables/table15.xml><?xml version="1.0" encoding="utf-8"?>
<table xmlns="http://schemas.openxmlformats.org/spreadsheetml/2006/main" id="15" name="StatisticalCoreTable" displayName="StatisticalCoreTable" ref="A5:H23" headerRowCount="1">
  <autoFilter ref="A5:H23"/>
  <tableColumns count="8">
    <tableColumn id="1" name="ID"/>
    <tableColumn id="2" name="Stage"/>
    <tableColumn id="3" name="Equation / object"/>
    <tableColumn id="4" name="Dependency"/>
    <tableColumn id="5" name="Status"/>
    <tableColumn id="6" name="Type"/>
    <tableColumn id="7" name="Interpretation"/>
    <tableColumn id="8" name="Next"/>
  </tableColumns>
  <tableStyleInfo name="TableStyleMedium2" showFirstColumn="0" showLastColumn="0" showRowStripes="1"/>
</table>
</file>

<file path=xl/tables/table16.xml><?xml version="1.0" encoding="utf-8"?>
<table xmlns="http://schemas.openxmlformats.org/spreadsheetml/2006/main" id="16" name="QuantumCoreTable" displayName="QuantumCoreTable" ref="A5:H13" headerRowCount="1">
  <autoFilter ref="A5:H13"/>
  <tableColumns count="8">
    <tableColumn id="1" name="ID"/>
    <tableColumn id="2" name="Stage"/>
    <tableColumn id="3" name="Equation"/>
    <tableColumn id="4" name="Dependency"/>
    <tableColumn id="5" name="Status"/>
    <tableColumn id="6" name="Operator"/>
    <tableColumn id="7" name="Meaning"/>
    <tableColumn id="8" name="Next"/>
  </tableColumns>
  <tableStyleInfo name="TableStyleMedium2" showFirstColumn="0" showLastColumn="0" showRowStripes="1"/>
</table>
</file>

<file path=xl/tables/table17.xml><?xml version="1.0" encoding="utf-8"?>
<table xmlns="http://schemas.openxmlformats.org/spreadsheetml/2006/main" id="17" name="ThermoCoreTable" displayName="ThermoCoreTable" ref="A5:H10" headerRowCount="1">
  <autoFilter ref="A5:H10"/>
  <tableColumns count="8">
    <tableColumn id="1" name="ID"/>
    <tableColumn id="2" name="Stage"/>
    <tableColumn id="3" name="Equation"/>
    <tableColumn id="4" name="Dependency"/>
    <tableColumn id="5" name="Status"/>
    <tableColumn id="6" name="Object"/>
    <tableColumn id="7" name="Interpretation"/>
    <tableColumn id="8" name="Downstream"/>
  </tableColumns>
  <tableStyleInfo name="TableStyleMedium2" showFirstColumn="0" showLastColumn="0" showRowStripes="1"/>
</table>
</file>

<file path=xl/tables/table18.xml><?xml version="1.0" encoding="utf-8"?>
<table xmlns="http://schemas.openxmlformats.org/spreadsheetml/2006/main" id="18" name="NCGTable" displayName="NCGTable" ref="A5:I17" headerRowCount="1">
  <autoFilter ref="A5:I17"/>
  <tableColumns count="9">
    <tableColumn id="1" name="ID"/>
    <tableColumn id="2" name="Layer"/>
    <tableColumn id="3" name="Equation"/>
    <tableColumn id="4" name="Dependency"/>
    <tableColumn id="5" name="Status"/>
    <tableColumn id="6" name="Object"/>
    <tableColumn id="7" name="Criterion"/>
    <tableColumn id="8" name="Next"/>
    <tableColumn id="9" name="Notes"/>
  </tableColumns>
  <tableStyleInfo name="TableStyleMedium2" showFirstColumn="0" showLastColumn="0" showRowStripes="1"/>
</table>
</file>

<file path=xl/tables/table19.xml><?xml version="1.0" encoding="utf-8"?>
<table xmlns="http://schemas.openxmlformats.org/spreadsheetml/2006/main" id="19" name="RosettaMapTable" displayName="RosettaMapTable" ref="A5:I17" headerRowCount="1">
  <autoFilter ref="A5:I17"/>
  <tableColumns count="9">
    <tableColumn id="1" name="Layer"/>
    <tableColumn id="2" name="Universal form"/>
    <tableColumn id="3" name="Physics"/>
    <tableColumn id="4" name="Biology"/>
    <tableColumn id="5" name="Chemistry"/>
    <tableColumn id="6" name="Ecology"/>
    <tableColumn id="7" name="Institutions"/>
    <tableColumn id="8" name="Translation invariant"/>
    <tableColumn id="9" name="Status"/>
  </tableColumns>
  <tableStyleInfo name="TableStyleMedium2" showFirstColumn="0" showLastColumn="0" showRowStripes="1"/>
</table>
</file>

<file path=xl/tables/table20.xml><?xml version="1.0" encoding="utf-8"?>
<table xmlns="http://schemas.openxmlformats.org/spreadsheetml/2006/main" id="20" name="ClosureMatrixTable" displayName="ClosureMatrixTable" ref="A5:I17" headerRowCount="1">
  <autoFilter ref="A5:I17"/>
  <tableColumns count="9">
    <tableColumn id="1" name="Closure"/>
    <tableColumn id="2" name="Target"/>
    <tableColumn id="3" name="Canonical result"/>
    <tableColumn id="4" name="Dependencies"/>
    <tableColumn id="5" name="Status"/>
    <tableColumn id="6" name="Active?"/>
    <tableColumn id="7" name="Evidence class"/>
    <tableColumn id="8" name="Next admissible layer"/>
    <tableColumn id="9" name="Notes"/>
  </tableColumns>
  <tableStyleInfo name="TableStyleMedium2" showFirstColumn="0" showLastColumn="0" showRowStripes="1"/>
</table>
</file>

<file path=xl/tables/table21.xml><?xml version="1.0" encoding="utf-8"?>
<table xmlns="http://schemas.openxmlformats.org/spreadsheetml/2006/main" id="21" name="FullUnificationTable" displayName="FullUnificationTable" ref="A5:L39" headerRowCount="1">
  <autoFilter ref="A5:L39"/>
  <tableColumns count="12">
    <tableColumn id="1" name="ID"/>
    <tableColumn id="2" name="Rosetta Layer"/>
    <tableColumn id="3" name="Universal Object"/>
    <tableColumn id="4" name="Primitive / Type"/>
    <tableColumn id="5" name="Canonical Equation / Chain"/>
    <tableColumn id="6" name="Physics realization"/>
    <tableColumn id="7" name="Statistical / Thermodynamic realization"/>
    <tableColumn id="8" name="Domain translation"/>
    <tableColumn id="9" name="MDCL dependency"/>
    <tableColumn id="10" name="Status"/>
    <tableColumn id="11" name="Active"/>
    <tableColumn id="12" name="Source basis"/>
  </tableColumns>
  <tableStyleInfo name="TableStyleMedium2" showRowStripes="1"/>
</table>
</file>

<file path=xl/tables/table22.xml><?xml version="1.0" encoding="utf-8"?>
<table xmlns="http://schemas.openxmlformats.org/spreadsheetml/2006/main" id="22" name="DTCRosettaTable" displayName="DTCRosettaTable" ref="A5:I12" headerRowCount="1">
  <autoFilter ref="A5:I12"/>
  <tableColumns count="9">
    <tableColumn id="1" name="DTC object"/>
    <tableColumn id="2" name="Compiler role"/>
    <tableColumn id="3" name="GR"/>
    <tableColumn id="4" name="QM / QFT"/>
    <tableColumn id="5" name="Non-equilibrium thermodynamics"/>
    <tableColumn id="6" name="Neuroscience / active inference"/>
    <tableColumn id="7" name="Macroeconomics / dynamic market"/>
    <tableColumn id="8" name="Universal interpretation"/>
    <tableColumn id="9" name="Source"/>
  </tableColumns>
  <tableStyleInfo name="TableStyleMedium2" showRowStripes="1"/>
</table>
</file>

<file path=xl/tables/table23.xml><?xml version="1.0" encoding="utf-8"?>
<table xmlns="http://schemas.openxmlformats.org/spreadsheetml/2006/main" id="23" name="UMCCHierarchyTable" displayName="UMCCHierarchyTable" ref="A5:G25" headerRowCount="1">
  <autoFilter ref="A5:G25"/>
  <tableColumns count="7">
    <tableColumn id="1" name="T-level"/>
    <tableColumn id="2" name="Concept"/>
    <tableColumn id="3" name="Dependency role"/>
    <tableColumn id="4" name="Rosetta interpretation"/>
    <tableColumn id="5" name="Status in archive"/>
    <tableColumn id="6" name="Active canonical role"/>
    <tableColumn id="7" name="Source"/>
  </tableColumns>
  <tableStyleInfo name="TableStyleMedium2" showRowStripes="1"/>
</table>
</file>

<file path=xl/tables/table24.xml><?xml version="1.0" encoding="utf-8"?>
<table xmlns="http://schemas.openxmlformats.org/spreadsheetml/2006/main" id="24" name="MDCLArchitectureTable" displayName="MDCLArchitectureTable" ref="A5:I23" headerRowCount="1">
  <autoFilter ref="A5:I23"/>
  <tableColumns count="9">
    <tableColumn id="1" name="ID"/>
    <tableColumn id="2" name="Architecture layer"/>
    <tableColumn id="3" name="Canonical object"/>
    <tableColumn id="4" name="Dependency / chain"/>
    <tableColumn id="5" name="Closure criterion"/>
    <tableColumn id="6" name="Implementation"/>
    <tableColumn id="7" name="Status"/>
    <tableColumn id="8" name="Active"/>
    <tableColumn id="9" name="Source matrix"/>
  </tableColumns>
  <tableStyleInfo name="TableStyleMedium2" showRowStripes="1"/>
</table>
</file>

<file path=xl/tables/table25.xml><?xml version="1.0" encoding="utf-8"?>
<table xmlns="http://schemas.openxmlformats.org/spreadsheetml/2006/main" id="25" name="RecoveryUnificationTable" displayName="RecoveryUnificationTable" ref="A5:J15" headerRowCount="1">
  <autoFilter ref="A5:J15"/>
  <tableColumns count="10">
    <tableColumn id="1" name="Branch"/>
    <tableColumn id="2" name="Recovery ID"/>
    <tableColumn id="3" name="Canonical chain"/>
    <tableColumn id="4" name="Mathematical core"/>
    <tableColumn id="5" name="Downstream realization"/>
    <tableColumn id="6" name="Status"/>
    <tableColumn id="7" name="Rosetta layer"/>
    <tableColumn id="8" name="Upstream"/>
    <tableColumn id="9" name="Downstream"/>
    <tableColumn id="10" name="Source"/>
  </tableColumns>
  <tableStyleInfo name="TableStyleMedium2" showRowStripes="1"/>
</table>
</file>

<file path=xl/tables/table26.xml><?xml version="1.0" encoding="utf-8"?>
<table xmlns="http://schemas.openxmlformats.org/spreadsheetml/2006/main" id="26" name="DomainEquationTable" displayName="DomainEquationTable" ref="A5:I15" headerRowCount="1">
  <autoFilter ref="A5:I15"/>
  <tableColumns count="9">
    <tableColumn id="1" name="Universal operator"/>
    <tableColumn id="2" name="Physics"/>
    <tableColumn id="3" name="Statistics"/>
    <tableColumn id="4" name="Thermodynamics"/>
    <tableColumn id="5" name="Biology"/>
    <tableColumn id="6" name="Chemistry"/>
    <tableColumn id="7" name="Ecology"/>
    <tableColumn id="8" name="Institutions"/>
    <tableColumn id="9" name="Rosetta meaning"/>
  </tableColumns>
  <tableStyleInfo name="TableStyleMedium2" showRowStripes="1"/>
</table>
</file>

<file path=xl/tables/table27.xml><?xml version="1.0" encoding="utf-8"?>
<table xmlns="http://schemas.openxmlformats.org/spreadsheetml/2006/main" id="27" name="ConstantUnificationTable" displayName="ConstantUnificationTable" ref="A5:I11" headerRowCount="1">
  <autoFilter ref="A5:I11"/>
  <tableColumns count="9">
    <tableColumn id="1" name="Type"/>
    <tableColumn id="2" name="Symbol"/>
    <tableColumn id="3" name="Compiler role"/>
    <tableColumn id="4" name="DTC analogue"/>
    <tableColumn id="5" name="Typical physical character"/>
    <tableColumn id="6" name="Dependency level"/>
    <tableColumn id="7" name="UCA node"/>
    <tableColumn id="8" name="Active use"/>
    <tableColumn id="9" name="Source"/>
  </tableColumns>
  <tableStyleInfo name="TableStyleMedium2" showRowStripes="1"/>
</table>
</file>

<file path=xl/tables/table28.xml><?xml version="1.0" encoding="utf-8"?>
<table xmlns="http://schemas.openxmlformats.org/spreadsheetml/2006/main" id="28" name="HistoricalMatrixTable" displayName="HistoricalMatrixTable" ref="A5:I18" headerRowCount="1">
  <autoFilter ref="A5:I18"/>
  <tableColumns count="9">
    <tableColumn id="1" name="Source matrix"/>
    <tableColumn id="2" name="ARC / ID"/>
    <tableColumn id="3" name="Part"/>
    <tableColumn id="4" name="Object"/>
    <tableColumn id="5" name="Historical formulation"/>
    <tableColumn id="6" name="Historical status"/>
    <tableColumn id="7" name="Canonical treatment now"/>
    <tableColumn id="8" name="Active?"/>
    <tableColumn id="9" name="Source citation"/>
  </tableColumns>
  <tableStyleInfo name="TableStyleMedium2" showRowStripes="1"/>
</table>
</file>

<file path=xl/tables/table29.xml><?xml version="1.0" encoding="utf-8"?>
<table xmlns="http://schemas.openxmlformats.org/spreadsheetml/2006/main" id="29" name="UnifiedChainTable" displayName="UnifiedChainTable" ref="A5:G29" headerRowCount="1">
  <autoFilter ref="A5:G29"/>
  <tableColumns count="7">
    <tableColumn id="1" name="Order"/>
    <tableColumn id="2" name="Node"/>
    <tableColumn id="3" name="Relation"/>
    <tableColumn id="4" name="Depends on"/>
    <tableColumn id="5" name="Downstream role"/>
    <tableColumn id="6" name="Status"/>
    <tableColumn id="7" name="Canonical chain position"/>
  </tableColumns>
  <tableStyleInfo name="TableStyleMedium2" showRowStripes="1"/>
</table>
</file>

<file path=xl/tables/table30.xml><?xml version="1.0" encoding="utf-8"?>
<table xmlns="http://schemas.openxmlformats.org/spreadsheetml/2006/main" id="30" name="SourceMatrixIndexTable" displayName="SourceMatrixIndexTable" ref="A5:G13" headerRowCount="1">
  <autoFilter ref="A5:G13"/>
  <tableColumns count="7">
    <tableColumn id="1" name="Source"/>
    <tableColumn id="2" name="Matrix / sheet"/>
    <tableColumn id="3" name="Primary content pulled"/>
    <tableColumn id="4" name="Use in unification"/>
    <tableColumn id="5" name="Active contribution"/>
    <tableColumn id="6" name="Historical contribution"/>
    <tableColumn id="7" name="Citation"/>
  </tableColumns>
  <tableStyleInfo name="TableStyleMedium2" showRowStripes="1"/>
</table>
</file>

<file path=xl/tables/table31.xml><?xml version="1.0" encoding="utf-8"?>
<table xmlns="http://schemas.openxmlformats.org/spreadsheetml/2006/main" id="31" name="MasterEquation174" displayName="MasterEquation174" ref="A5:J179" headerRowCount="1">
  <autoFilter ref="A5:J179"/>
  <tableColumns count="10">
    <tableColumn id="1" name="ID"/>
    <tableColumn id="2" name="Section"/>
    <tableColumn id="3" name="Section name"/>
    <tableColumn id="4" name="Local"/>
    <tableColumn id="5" name="Equation"/>
    <tableColumn id="6" name="Meaning"/>
    <tableColumn id="7" name="Source state"/>
    <tableColumn id="8" name="Layer"/>
    <tableColumn id="9" name="Status"/>
    <tableColumn id="10" name="Formula provenance"/>
  </tableColumns>
  <tableStyleInfo name="TableStyleMedium2" showRowStripes="1"/>
</table>
</file>

<file path=xl/tables/table32.xml><?xml version="1.0" encoding="utf-8"?>
<table xmlns="http://schemas.openxmlformats.org/spreadsheetml/2006/main" id="32" name="EquationLineage" displayName="EquationLineage" ref="A5:H179" headerRowCount="1">
  <autoFilter ref="A5:H179"/>
  <tableColumns count="8">
    <tableColumn id="1" name="Lineage ID"/>
    <tableColumn id="2" name="Equation"/>
    <tableColumn id="3" name="Section"/>
    <tableColumn id="4" name="Immediate upstream"/>
    <tableColumn id="5" name="Immediate downstream"/>
    <tableColumn id="6" name="Layer"/>
    <tableColumn id="7" name="Status"/>
    <tableColumn id="8" name="Governance"/>
  </tableColumns>
  <tableStyleInfo name="TableStyleMedium2" showRowStripes="1"/>
</table>
</file>

<file path=xl/tables/table33.xml><?xml version="1.0" encoding="utf-8"?>
<table xmlns="http://schemas.openxmlformats.org/spreadsheetml/2006/main" id="33" name="DERTable" displayName="DERTable" ref="A5:G31" headerRowCount="1">
  <autoFilter ref="A5:G31"/>
  <tableColumns count="7">
    <tableColumn id="1" name="DER ID"/>
    <tableColumn id="2" name="Statement"/>
    <tableColumn id="3" name="Predecessors"/>
    <tableColumn id="4" name="Status"/>
    <tableColumn id="5" name="Layer"/>
    <tableColumn id="6" name="Branch"/>
    <tableColumn id="7" name="Governance"/>
  </tableColumns>
  <tableStyleInfo name="TableStyleMedium2" showRowStripes="1"/>
</table>
</file>

<file path=xl/tables/table34.xml><?xml version="1.0" encoding="utf-8"?>
<table xmlns="http://schemas.openxmlformats.org/spreadsheetml/2006/main" id="34" name="BridgeTable" displayName="BridgeTable" ref="A5:I20" headerRowCount="1">
  <autoFilter ref="A5:I20"/>
  <tableColumns count="9">
    <tableColumn id="1" name="Bridge"/>
    <tableColumn id="2" name="From"/>
    <tableColumn id="3" name="To"/>
    <tableColumn id="4" name="Name"/>
    <tableColumn id="5" name="Equation"/>
    <tableColumn id="6" name="Derivation"/>
    <tableColumn id="7" name="Closure"/>
    <tableColumn id="8" name="Layer"/>
    <tableColumn id="9" name="Governance"/>
  </tableColumns>
  <tableStyleInfo name="TableStyleMedium2" showRowStripes="1"/>
</table>
</file>

<file path=xl/tables/table35.xml><?xml version="1.0" encoding="utf-8"?>
<table xmlns="http://schemas.openxmlformats.org/spreadsheetml/2006/main" id="35" name="VariableTable" displayName="VariableTable" ref="A5:E15" headerRowCount="1">
  <autoFilter ref="A5:E15"/>
  <tableColumns count="5">
    <tableColumn id="1" name="Variable ID"/>
    <tableColumn id="2" name="Symbol"/>
    <tableColumn id="3" name="Role"/>
    <tableColumn id="4" name="Status"/>
    <tableColumn id="5" name="Origin equations"/>
  </tableColumns>
  <tableStyleInfo name="TableStyleMedium2" showRowStripes="1"/>
</table>
</file>

<file path=xl/tables/table36.xml><?xml version="1.0" encoding="utf-8"?>
<table xmlns="http://schemas.openxmlformats.org/spreadsheetml/2006/main" id="36" name="ConstantTable" displayName="ConstantTable" ref="A5:F10" headerRowCount="1">
  <autoFilter ref="A5:F10"/>
  <tableColumns count="6">
    <tableColumn id="1" name="Node"/>
    <tableColumn id="2" name="Compiler type"/>
    <tableColumn id="3" name="Role"/>
    <tableColumn id="4" name="Representation"/>
    <tableColumn id="5" name="Status"/>
    <tableColumn id="6" name="Governance"/>
  </tableColumns>
  <tableStyleInfo name="TableStyleMedium2" showRowStripes="1"/>
</table>
</file>

<file path=xl/tables/table37.xml><?xml version="1.0" encoding="utf-8"?>
<table xmlns="http://schemas.openxmlformats.org/spreadsheetml/2006/main" id="37" name="UQRTable" displayName="UQRTable" ref="A5:F11" headerRowCount="1">
  <autoFilter ref="A5:F11"/>
  <tableColumns count="6">
    <tableColumn id="1" name="Quantity class"/>
    <tableColumn id="2" name="Compiler role"/>
    <tableColumn id="3" name="Representation"/>
    <tableColumn id="4" name="Status"/>
    <tableColumn id="5" name="Examples"/>
    <tableColumn id="6" name="Governance"/>
  </tableColumns>
  <tableStyleInfo name="TableStyleMedium2" showRowStripes="1"/>
</table>
</file>

<file path=xl/tables/table38.xml><?xml version="1.0" encoding="utf-8"?>
<table xmlns="http://schemas.openxmlformats.org/spreadsheetml/2006/main" id="38" name="InputsTable" displayName="InputsTable" ref="A5:G16" headerRowCount="1">
  <autoFilter ref="A5:G16"/>
  <tableColumns count="7">
    <tableColumn id="1" name="Input"/>
    <tableColumn id="2" name="Object"/>
    <tableColumn id="3" name="Shell"/>
    <tableColumn id="4" name="Value"/>
    <tableColumn id="5" name="Precision"/>
    <tableColumn id="6" name="Status"/>
    <tableColumn id="7" name="Notes"/>
  </tableColumns>
  <tableStyleInfo name="TableStyleMedium2" showRowStripes="1"/>
</table>
</file>

<file path=xl/tables/table39.xml><?xml version="1.0" encoding="utf-8"?>
<table xmlns="http://schemas.openxmlformats.org/spreadsheetml/2006/main" id="39" name="EngineTable" displayName="EngineTable" ref="A5:G25" headerRowCount="1">
  <autoFilter ref="A5:G25"/>
  <tableColumns count="7">
    <tableColumn id="1" name="Engine ID"/>
    <tableColumn id="2" name="Calculation"/>
    <tableColumn id="3" name="Formula"/>
    <tableColumn id="4" name="Inputs"/>
    <tableColumn id="5" name="Output"/>
    <tableColumn id="6" name="Status"/>
    <tableColumn id="7" name="Audit rule"/>
  </tableColumns>
  <tableStyleInfo name="TableStyleMedium2" showRowStripes="1"/>
</table>
</file>

<file path=xl/tables/table40.xml><?xml version="1.0" encoding="utf-8"?>
<table xmlns="http://schemas.openxmlformats.org/spreadsheetml/2006/main" id="40" name="M_StatusTable" displayName="M_StatusTable" ref="A5:F15" headerRowCount="1">
  <autoFilter ref="A5:F15"/>
  <tableColumns count="6">
    <tableColumn id="1" name="Status"/>
    <tableColumn id="2" name="Meaning"/>
    <tableColumn id="3" name="Active?"/>
    <tableColumn id="4" name="Admission rule"/>
    <tableColumn id="5" name="Example"/>
    <tableColumn id="6" name="Action"/>
  </tableColumns>
  <tableStyleInfo name="TableStyleMedium2" showRowStripes="1"/>
</table>
</file>

<file path=xl/tables/table41.xml><?xml version="1.0" encoding="utf-8"?>
<table xmlns="http://schemas.openxmlformats.org/spreadsheetml/2006/main" id="41" name="M_DAGTable" displayName="M_DAGTable" ref="A5:G28" headerRowCount="1">
  <autoFilter ref="A5:G28"/>
  <tableColumns count="7">
    <tableColumn id="1" name="Node"/>
    <tableColumn id="2" name="Object"/>
    <tableColumn id="3" name="Relation"/>
    <tableColumn id="4" name="Upstream"/>
    <tableColumn id="5" name="Downstream"/>
    <tableColumn id="6" name="Status"/>
    <tableColumn id="7" name="Canonical position"/>
  </tableColumns>
  <tableStyleInfo name="TableStyleMedium2" showRowStripes="1"/>
</table>
</file>

<file path=xl/tables/table42.xml><?xml version="1.0" encoding="utf-8"?>
<table xmlns="http://schemas.openxmlformats.org/spreadsheetml/2006/main" id="42" name="M_RosettaTable" displayName="M_RosettaTable" ref="A5:I12" headerRowCount="1">
  <autoFilter ref="A5:I12"/>
  <tableColumns count="9">
    <tableColumn id="1" name="ID"/>
    <tableColumn id="2" name="Domain"/>
    <tableColumn id="3" name="Domain state"/>
    <tableColumn id="4" name="D"/>
    <tableColumn id="5" name="T"/>
    <tableColumn id="6" name="C"/>
    <tableColumn id="7" name="Operator/spectrum"/>
    <tableColumn id="8" name="Persistence/geometry"/>
    <tableColumn id="9" name="Canonical realization"/>
  </tableColumns>
  <tableStyleInfo name="TableStyleMedium2" showRowStripes="1"/>
</table>
</file>

<file path=xl/tables/table43.xml><?xml version="1.0" encoding="utf-8"?>
<table xmlns="http://schemas.openxmlformats.org/spreadsheetml/2006/main" id="43" name="M_ProvenanceTable" displayName="M_ProvenanceTable" ref="A5:F12" headerRowCount="1">
  <autoFilter ref="A5:F12"/>
  <tableColumns count="6">
    <tableColumn id="1" name="Source"/>
    <tableColumn id="2" name="Sheet / matrix"/>
    <tableColumn id="3" name="Content"/>
    <tableColumn id="4" name="Workbook use"/>
    <tableColumn id="5" name="Recovery state"/>
    <tableColumn id="6" name="Citation"/>
  </tableColumns>
  <tableStyleInfo name="TableStyleMedium2" showRowStripes="1"/>
</table>
</file>

<file path=xl/tables/table44.xml><?xml version="1.0" encoding="utf-8"?>
<table xmlns="http://schemas.openxmlformats.org/spreadsheetml/2006/main" id="44" name="M_IndexTable" displayName="M_IndexTable" ref="A5:E18" headerRowCount="1">
  <autoFilter ref="A5:E18"/>
  <tableColumns count="5">
    <tableColumn id="1" name="#"/>
    <tableColumn id="2" name="Sheet"/>
    <tableColumn id="3" name="Purpose"/>
    <tableColumn id="4" name="Records"/>
    <tableColumn id="5" name="Role"/>
  </tableColumns>
  <tableStyleInfo name="TableStyleMedium2" showRowStripes="1"/>
</table>
</file>

<file path=xl/tables/table45.xml><?xml version="1.0" encoding="utf-8"?>
<table xmlns="http://schemas.openxmlformats.org/spreadsheetml/2006/main" id="45" name="CalculationRunTable" displayName="CalculationRunTable" ref="A5:H33" headerRowCount="1">
  <autoFilter ref="A5:H33"/>
  <tableColumns count="8">
    <tableColumn id="1" name="Calculation"/>
    <tableColumn id="2" name="Shell / branch"/>
    <tableColumn id="3" name="Input"/>
    <tableColumn id="4" name="Computed output"/>
    <tableColumn id="5" name="Reference"/>
    <tableColumn id="6" name="Status"/>
    <tableColumn id="7" name="Dependency state"/>
    <tableColumn id="8" name="Audit note"/>
  </tableColumns>
  <tableStyleInfo name="TableStyleMedium2" showRowStripes="1"/>
</table>
</file>

<file path=xl/tables/table46.xml><?xml version="1.0" encoding="utf-8"?>
<table xmlns="http://schemas.openxmlformats.org/spreadsheetml/2006/main" id="46" name="ResultRegistryTable" displayName="ResultRegistryTable" ref="A5:G20" headerRowCount="1">
  <autoFilter ref="A5:G20"/>
  <tableColumns count="7">
    <tableColumn id="1" name="Result ID"/>
    <tableColumn id="2" name="Object"/>
    <tableColumn id="3" name="Value"/>
    <tableColumn id="4" name="State"/>
    <tableColumn id="5" name="Source/engine"/>
    <tableColumn id="6" name="Target-conditioned?"/>
    <tableColumn id="7" name="Next us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drawing" Target="/xl/drawings/drawing1.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_rels/sheet18.xml.rels><Relationships xmlns="http://schemas.openxmlformats.org/package/2006/relationships"><Relationship Type="http://schemas.openxmlformats.org/officeDocument/2006/relationships/table" Target="/xl/tables/table17.xml" Id="rId1" /></Relationships>
</file>

<file path=xl/worksheets/_rels/sheet19.xml.rels><Relationships xmlns="http://schemas.openxmlformats.org/package/2006/relationships"><Relationship Type="http://schemas.openxmlformats.org/officeDocument/2006/relationships/table" Target="/xl/tables/table18.xml" Id="rId1" /></Relationships>
</file>

<file path=xl/worksheets/_rels/sheet20.xml.rels><Relationships xmlns="http://schemas.openxmlformats.org/package/2006/relationships"><Relationship Type="http://schemas.openxmlformats.org/officeDocument/2006/relationships/table" Target="/xl/tables/table19.xml" Id="rId1" /></Relationships>
</file>

<file path=xl/worksheets/_rels/sheet21.xml.rels><Relationships xmlns="http://schemas.openxmlformats.org/package/2006/relationships"><Relationship Type="http://schemas.openxmlformats.org/officeDocument/2006/relationships/table" Target="/xl/tables/table20.xml" Id="rId1" /></Relationships>
</file>

<file path=xl/worksheets/_rels/sheet22.xml.rels><Relationships xmlns="http://schemas.openxmlformats.org/package/2006/relationships"><Relationship Type="http://schemas.openxmlformats.org/officeDocument/2006/relationships/table" Target="/xl/tables/table21.xml" Id="rId1" /></Relationships>
</file>

<file path=xl/worksheets/_rels/sheet23.xml.rels><Relationships xmlns="http://schemas.openxmlformats.org/package/2006/relationships"><Relationship Type="http://schemas.openxmlformats.org/officeDocument/2006/relationships/table" Target="/xl/tables/table22.xml" Id="rId1" /></Relationships>
</file>

<file path=xl/worksheets/_rels/sheet24.xml.rels><Relationships xmlns="http://schemas.openxmlformats.org/package/2006/relationships"><Relationship Type="http://schemas.openxmlformats.org/officeDocument/2006/relationships/table" Target="/xl/tables/table23.xml" Id="rId1" /></Relationships>
</file>

<file path=xl/worksheets/_rels/sheet25.xml.rels><Relationships xmlns="http://schemas.openxmlformats.org/package/2006/relationships"><Relationship Type="http://schemas.openxmlformats.org/officeDocument/2006/relationships/table" Target="/xl/tables/table24.xml" Id="rId1" /></Relationships>
</file>

<file path=xl/worksheets/_rels/sheet26.xml.rels><Relationships xmlns="http://schemas.openxmlformats.org/package/2006/relationships"><Relationship Type="http://schemas.openxmlformats.org/officeDocument/2006/relationships/table" Target="/xl/tables/table25.xml" Id="rId1" /></Relationships>
</file>

<file path=xl/worksheets/_rels/sheet27.xml.rels><Relationships xmlns="http://schemas.openxmlformats.org/package/2006/relationships"><Relationship Type="http://schemas.openxmlformats.org/officeDocument/2006/relationships/table" Target="/xl/tables/table26.xml" Id="rId1" /></Relationships>
</file>

<file path=xl/worksheets/_rels/sheet28.xml.rels><Relationships xmlns="http://schemas.openxmlformats.org/package/2006/relationships"><Relationship Type="http://schemas.openxmlformats.org/officeDocument/2006/relationships/table" Target="/xl/tables/table27.xml" Id="rId1" /></Relationships>
</file>

<file path=xl/worksheets/_rels/sheet29.xml.rels><Relationships xmlns="http://schemas.openxmlformats.org/package/2006/relationships"><Relationship Type="http://schemas.openxmlformats.org/officeDocument/2006/relationships/table" Target="/xl/tables/table28.xml" Id="rId1" /></Relationships>
</file>

<file path=xl/worksheets/_rels/sheet30.xml.rels><Relationships xmlns="http://schemas.openxmlformats.org/package/2006/relationships"><Relationship Type="http://schemas.openxmlformats.org/officeDocument/2006/relationships/table" Target="/xl/tables/table29.xml" Id="rId1" /></Relationships>
</file>

<file path=xl/worksheets/_rels/sheet31.xml.rels><Relationships xmlns="http://schemas.openxmlformats.org/package/2006/relationships"><Relationship Type="http://schemas.openxmlformats.org/officeDocument/2006/relationships/table" Target="/xl/tables/table30.xml" Id="rId1" /></Relationships>
</file>

<file path=xl/worksheets/_rels/sheet32.xml.rels><Relationships xmlns="http://schemas.openxmlformats.org/package/2006/relationships"><Relationship Type="http://schemas.openxmlformats.org/officeDocument/2006/relationships/table" Target="/xl/tables/table31.xml" Id="rId1" /></Relationships>
</file>

<file path=xl/worksheets/_rels/sheet33.xml.rels><Relationships xmlns="http://schemas.openxmlformats.org/package/2006/relationships"><Relationship Type="http://schemas.openxmlformats.org/officeDocument/2006/relationships/table" Target="/xl/tables/table32.xml" Id="rId1" /></Relationships>
</file>

<file path=xl/worksheets/_rels/sheet34.xml.rels><Relationships xmlns="http://schemas.openxmlformats.org/package/2006/relationships"><Relationship Type="http://schemas.openxmlformats.org/officeDocument/2006/relationships/table" Target="/xl/tables/table33.xml" Id="rId1" /></Relationships>
</file>

<file path=xl/worksheets/_rels/sheet35.xml.rels><Relationships xmlns="http://schemas.openxmlformats.org/package/2006/relationships"><Relationship Type="http://schemas.openxmlformats.org/officeDocument/2006/relationships/table" Target="/xl/tables/table34.xml" Id="rId1" /></Relationships>
</file>

<file path=xl/worksheets/_rels/sheet36.xml.rels><Relationships xmlns="http://schemas.openxmlformats.org/package/2006/relationships"><Relationship Type="http://schemas.openxmlformats.org/officeDocument/2006/relationships/table" Target="/xl/tables/table35.xml" Id="rId1" /></Relationships>
</file>

<file path=xl/worksheets/_rels/sheet37.xml.rels><Relationships xmlns="http://schemas.openxmlformats.org/package/2006/relationships"><Relationship Type="http://schemas.openxmlformats.org/officeDocument/2006/relationships/table" Target="/xl/tables/table36.xml" Id="rId1" /></Relationships>
</file>

<file path=xl/worksheets/_rels/sheet38.xml.rels><Relationships xmlns="http://schemas.openxmlformats.org/package/2006/relationships"><Relationship Type="http://schemas.openxmlformats.org/officeDocument/2006/relationships/table" Target="/xl/tables/table37.xml" Id="rId1" /></Relationships>
</file>

<file path=xl/worksheets/_rels/sheet39.xml.rels><Relationships xmlns="http://schemas.openxmlformats.org/package/2006/relationships"><Relationship Type="http://schemas.openxmlformats.org/officeDocument/2006/relationships/table" Target="/xl/tables/table38.xml" Id="rId1" /></Relationships>
</file>

<file path=xl/worksheets/_rels/sheet40.xml.rels><Relationships xmlns="http://schemas.openxmlformats.org/package/2006/relationships"><Relationship Type="http://schemas.openxmlformats.org/officeDocument/2006/relationships/table" Target="/xl/tables/table39.xml" Id="rId1" /></Relationships>
</file>

<file path=xl/worksheets/_rels/sheet41.xml.rels><Relationships xmlns="http://schemas.openxmlformats.org/package/2006/relationships"><Relationship Type="http://schemas.openxmlformats.org/officeDocument/2006/relationships/table" Target="/xl/tables/table40.xml" Id="rId1" /></Relationships>
</file>

<file path=xl/worksheets/_rels/sheet42.xml.rels><Relationships xmlns="http://schemas.openxmlformats.org/package/2006/relationships"><Relationship Type="http://schemas.openxmlformats.org/officeDocument/2006/relationships/table" Target="/xl/tables/table41.xml" Id="rId1" /></Relationships>
</file>

<file path=xl/worksheets/_rels/sheet43.xml.rels><Relationships xmlns="http://schemas.openxmlformats.org/package/2006/relationships"><Relationship Type="http://schemas.openxmlformats.org/officeDocument/2006/relationships/table" Target="/xl/tables/table42.xml" Id="rId1" /></Relationships>
</file>

<file path=xl/worksheets/_rels/sheet44.xml.rels><Relationships xmlns="http://schemas.openxmlformats.org/package/2006/relationships"><Relationship Type="http://schemas.openxmlformats.org/officeDocument/2006/relationships/table" Target="/xl/tables/table43.xml" Id="rId1" /></Relationships>
</file>

<file path=xl/worksheets/_rels/sheet45.xml.rels><Relationships xmlns="http://schemas.openxmlformats.org/package/2006/relationships"><Relationship Type="http://schemas.openxmlformats.org/officeDocument/2006/relationships/table" Target="/xl/tables/table44.xml" Id="rId1" /></Relationships>
</file>

<file path=xl/worksheets/_rels/sheet46.xml.rels><Relationships xmlns="http://schemas.openxmlformats.org/package/2006/relationships"><Relationship Type="http://schemas.openxmlformats.org/officeDocument/2006/relationships/table" Target="/xl/tables/table45.xml" Id="rId1" /></Relationships>
</file>

<file path=xl/worksheets/_rels/sheet47.xml.rels><Relationships xmlns="http://schemas.openxmlformats.org/package/2006/relationships"><Relationship Type="http://schemas.openxmlformats.org/officeDocument/2006/relationships/table" Target="/xl/tables/table46.xml" Id="rId1" /></Relationships>
</file>

<file path=xl/worksheets/_rels/sheet10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17233C"/>
    <outlinePr summaryBelow="1" summaryRight="1"/>
    <pageSetUpPr fitToPage="1"/>
  </sheetPr>
  <dimension ref="A1:H29"/>
  <sheetViews>
    <sheetView showGridLines="0" zoomScale="90" workbookViewId="0">
      <pane ySplit="5" topLeftCell="A6" activePane="bottomLeft" state="frozen"/>
      <selection pane="bottomLeft" activeCell="A1" sqref="A1"/>
    </sheetView>
  </sheetViews>
  <sheetFormatPr baseColWidth="8" defaultRowHeight="15"/>
  <cols>
    <col width="28" customWidth="1" min="1" max="1"/>
    <col width="68" customWidth="1" min="2" max="2"/>
    <col width="22" customWidth="1" min="3" max="3"/>
    <col width="24" customWidth="1" min="4" max="4"/>
    <col width="24" customWidth="1" min="5" max="5"/>
    <col width="24" customWidth="1" min="6" max="6"/>
    <col width="24" customWidth="1" min="7" max="7"/>
    <col width="24" customWidth="1" min="8" max="8"/>
  </cols>
  <sheetData>
    <row r="1" ht="32" customHeight="1">
      <c r="A1" s="1" t="inlineStr">
        <is>
          <t>UNIVERSAL ROSETTA STONE</t>
        </is>
      </c>
    </row>
    <row r="2" ht="34" customHeight="1">
      <c r="A2" s="2" t="inlineStr">
        <is>
          <t>Master architecture workbook — canonical representation, translation, dependency, and admissibility framework.</t>
        </is>
      </c>
    </row>
    <row r="5" ht="28" customHeight="1">
      <c r="A5" s="3" t="inlineStr">
        <is>
          <t>Field</t>
        </is>
      </c>
      <c r="B5" s="3" t="inlineStr">
        <is>
          <t>Canonical definition</t>
        </is>
      </c>
      <c r="C5" s="3" t="inlineStr">
        <is>
          <t>State</t>
        </is>
      </c>
    </row>
    <row r="6">
      <c r="A6" s="4" t="inlineStr">
        <is>
          <t>Framework</t>
        </is>
      </c>
      <c r="B6" s="4" t="inlineStr">
        <is>
          <t>Universal Rosetta Stone (URS)</t>
        </is>
      </c>
      <c r="C6" s="4" t="inlineStr">
        <is>
          <t>ACTIVE</t>
        </is>
      </c>
    </row>
    <row r="7">
      <c r="A7" s="4" t="inlineStr">
        <is>
          <t>Purpose</t>
        </is>
      </c>
      <c r="B7" s="4" t="inlineStr">
        <is>
          <t>Dependency-preserving translation of organized systems into a common computational grammar.</t>
        </is>
      </c>
      <c r="C7" s="4" t="inlineStr">
        <is>
          <t>ACTIVE</t>
        </is>
      </c>
    </row>
    <row r="8">
      <c r="A8" s="4" t="inlineStr">
        <is>
          <t>Universal grammar</t>
        </is>
      </c>
      <c r="B8" s="4" t="inlineStr">
        <is>
          <t>Γ = D ∘ T ∘ C</t>
        </is>
      </c>
      <c r="C8" s="4" t="inlineStr">
        <is>
          <t>CANONICAL</t>
        </is>
      </c>
    </row>
    <row r="9">
      <c r="A9" s="4" t="inlineStr">
        <is>
          <t>Compiler</t>
        </is>
      </c>
      <c r="B9" s="4" t="inlineStr">
        <is>
          <t>Universal Organizational Compiler (UOC)</t>
        </is>
      </c>
      <c r="C9" s="4" t="inlineStr">
        <is>
          <t>CANONICAL</t>
        </is>
      </c>
    </row>
    <row r="10">
      <c r="A10" s="4" t="inlineStr">
        <is>
          <t>Dependency engine</t>
        </is>
      </c>
      <c r="B10" s="4" t="inlineStr">
        <is>
          <t>Master Dependency ChainLink (MDCL)</t>
        </is>
      </c>
      <c r="C10" s="4" t="inlineStr">
        <is>
          <t>CANONICAL</t>
        </is>
      </c>
    </row>
    <row r="11">
      <c r="A11" s="4" t="inlineStr">
        <is>
          <t>Admissibility</t>
        </is>
      </c>
      <c r="B11" s="4" t="inlineStr">
        <is>
          <t>Only DERIVED / VERIFIED / CALCULATED and currently admissible results propagate.</t>
        </is>
      </c>
      <c r="C11" s="4" t="inlineStr">
        <is>
          <t>CANONICAL</t>
        </is>
      </c>
    </row>
    <row r="12">
      <c r="A12" s="4" t="inlineStr">
        <is>
          <t>Physics realization</t>
        </is>
      </c>
      <c r="B12" s="4" t="inlineStr">
        <is>
          <t>ARBS → spectral geometry → physical representation</t>
        </is>
      </c>
      <c r="C12" s="4" t="inlineStr">
        <is>
          <t>ACTIVE</t>
        </is>
      </c>
    </row>
    <row r="15">
      <c r="A15" s="5" t="inlineStr">
        <is>
          <t>Core architecture</t>
        </is>
      </c>
    </row>
    <row r="16" ht="28" customHeight="1">
      <c r="A16" s="3" t="inlineStr">
        <is>
          <t>Layer</t>
        </is>
      </c>
      <c r="B16" s="3" t="inlineStr">
        <is>
          <t>Object</t>
        </is>
      </c>
      <c r="C16" s="3" t="inlineStr">
        <is>
          <t>Role</t>
        </is>
      </c>
      <c r="D16" s="3" t="inlineStr">
        <is>
          <t>Dependency</t>
        </is>
      </c>
    </row>
    <row r="17">
      <c r="A17" s="4" t="inlineStr">
        <is>
          <t>R0</t>
        </is>
      </c>
      <c r="B17" s="4" t="inlineStr">
        <is>
          <t>Distinction D</t>
        </is>
      </c>
      <c r="C17" s="4" t="inlineStr">
        <is>
          <t>Primitive state separation</t>
        </is>
      </c>
      <c r="D17" s="4" t="inlineStr">
        <is>
          <t>—</t>
        </is>
      </c>
    </row>
    <row r="18">
      <c r="A18" s="4" t="inlineStr">
        <is>
          <t>R1</t>
        </is>
      </c>
      <c r="B18" s="4" t="inlineStr">
        <is>
          <t>Transformation T</t>
        </is>
      </c>
      <c r="C18" s="4" t="inlineStr">
        <is>
          <t>State transition/change</t>
        </is>
      </c>
      <c r="D18" s="4" t="inlineStr">
        <is>
          <t>D</t>
        </is>
      </c>
    </row>
    <row r="19">
      <c r="A19" s="4" t="inlineStr">
        <is>
          <t>R2</t>
        </is>
      </c>
      <c r="B19" s="4" t="inlineStr">
        <is>
          <t>Constraint C</t>
        </is>
      </c>
      <c r="C19" s="4" t="inlineStr">
        <is>
          <t>Admissibility/selection rule</t>
        </is>
      </c>
      <c r="D19" s="4" t="inlineStr">
        <is>
          <t>D ≺ T</t>
        </is>
      </c>
    </row>
    <row r="20">
      <c r="A20" s="4" t="inlineStr">
        <is>
          <t>R3</t>
        </is>
      </c>
      <c r="B20" s="4" t="inlineStr">
        <is>
          <t>State space S</t>
        </is>
      </c>
      <c r="C20" s="4" t="inlineStr">
        <is>
          <t>Possible configurations</t>
        </is>
      </c>
      <c r="D20" s="4" t="inlineStr">
        <is>
          <t>D,T,C</t>
        </is>
      </c>
    </row>
    <row r="21">
      <c r="A21" s="4" t="inlineStr">
        <is>
          <t>R4</t>
        </is>
      </c>
      <c r="B21" s="4" t="inlineStr">
        <is>
          <t>Organization G</t>
        </is>
      </c>
      <c r="C21" s="4" t="inlineStr">
        <is>
          <t>Relations/network structure</t>
        </is>
      </c>
      <c r="D21" s="4" t="inlineStr">
        <is>
          <t>S</t>
        </is>
      </c>
    </row>
    <row r="22">
      <c r="A22" s="4" t="inlineStr">
        <is>
          <t>R5</t>
        </is>
      </c>
      <c r="B22" s="4" t="inlineStr">
        <is>
          <t>Operator L</t>
        </is>
      </c>
      <c r="C22" s="4" t="inlineStr">
        <is>
          <t>Structural dynamics</t>
        </is>
      </c>
      <c r="D22" s="4" t="inlineStr">
        <is>
          <t>G</t>
        </is>
      </c>
    </row>
    <row r="23">
      <c r="A23" s="4" t="inlineStr">
        <is>
          <t>R6</t>
        </is>
      </c>
      <c r="B23" s="4" t="inlineStr">
        <is>
          <t>Spectrum Spec(L)</t>
        </is>
      </c>
      <c r="C23" s="4" t="inlineStr">
        <is>
          <t>Organizational modes</t>
        </is>
      </c>
      <c r="D23" s="4" t="inlineStr">
        <is>
          <t>L</t>
        </is>
      </c>
    </row>
    <row r="24">
      <c r="A24" s="4" t="inlineStr">
        <is>
          <t>R7</t>
        </is>
      </c>
      <c r="B24" s="4" t="inlineStr">
        <is>
          <t>Persistence Π</t>
        </is>
      </c>
      <c r="C24" s="4" t="inlineStr">
        <is>
          <t>Persistent sector</t>
        </is>
      </c>
      <c r="D24" s="4" t="inlineStr">
        <is>
          <t>Spec(L)</t>
        </is>
      </c>
    </row>
    <row r="25">
      <c r="A25" s="4" t="inlineStr">
        <is>
          <t>R8</t>
        </is>
      </c>
      <c r="B25" s="4" t="inlineStr">
        <is>
          <t>Metric g</t>
        </is>
      </c>
      <c r="C25" s="4" t="inlineStr">
        <is>
          <t>Relational geometry</t>
        </is>
      </c>
      <c r="D25" s="4" t="inlineStr">
        <is>
          <t>Π</t>
        </is>
      </c>
    </row>
    <row r="26">
      <c r="A26" s="4" t="inlineStr">
        <is>
          <t>R9</t>
        </is>
      </c>
      <c r="B26" s="4" t="inlineStr">
        <is>
          <t>Curvature R</t>
        </is>
      </c>
      <c r="C26" s="4" t="inlineStr">
        <is>
          <t>Geometric nonuniformity</t>
        </is>
      </c>
      <c r="D26" s="4" t="inlineStr">
        <is>
          <t>g</t>
        </is>
      </c>
    </row>
    <row r="27">
      <c r="A27" s="4" t="inlineStr">
        <is>
          <t>R10</t>
        </is>
      </c>
      <c r="B27" s="4" t="inlineStr">
        <is>
          <t>Field/effective law</t>
        </is>
      </c>
      <c r="C27" s="4" t="inlineStr">
        <is>
          <t>Domain-level dynamics</t>
        </is>
      </c>
      <c r="D27" s="4" t="inlineStr">
        <is>
          <t>R</t>
        </is>
      </c>
    </row>
    <row r="28">
      <c r="A28" s="4" t="inlineStr">
        <is>
          <t>R11</t>
        </is>
      </c>
      <c r="B28" s="4" t="inlineStr">
        <is>
          <t>Representation</t>
        </is>
      </c>
      <c r="C28" s="4" t="inlineStr">
        <is>
          <t>Domain-specific realization</t>
        </is>
      </c>
      <c r="D28" s="4" t="inlineStr">
        <is>
          <t>R10</t>
        </is>
      </c>
    </row>
    <row r="29">
      <c r="A29" s="4" t="inlineStr">
        <is>
          <t>R12</t>
        </is>
      </c>
      <c r="B29" s="4" t="inlineStr">
        <is>
          <t>Translation</t>
        </is>
      </c>
      <c r="C29" s="4" t="inlineStr">
        <is>
          <t>Observable/domain output</t>
        </is>
      </c>
      <c r="D29" s="4" t="inlineStr">
        <is>
          <t>Representation</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tabColor rgb="002F5D8C"/>
    <outlinePr summaryBelow="1" summaryRight="1"/>
    <pageSetUpPr fitToPage="1"/>
  </sheetPr>
  <dimension ref="A1:G11"/>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30" customWidth="1" min="2" max="2"/>
    <col width="45" customWidth="1" min="3" max="3"/>
    <col width="48" customWidth="1" min="4" max="4"/>
    <col width="28" customWidth="1" min="5" max="5"/>
    <col width="28" customWidth="1" min="6" max="6"/>
    <col width="32" customWidth="1" min="7" max="7"/>
  </cols>
  <sheetData>
    <row r="1" ht="32" customHeight="1">
      <c r="A1" s="1" t="inlineStr">
        <is>
          <t>UNIVERSAL GRAMMAR</t>
        </is>
      </c>
    </row>
    <row r="2" ht="34" customHeight="1">
      <c r="A2" s="2" t="inlineStr">
        <is>
          <t>Primitive syntax and canonical state-transition form.</t>
        </is>
      </c>
    </row>
    <row r="5" ht="28" customHeight="1">
      <c r="A5" s="3" t="inlineStr">
        <is>
          <t>ID</t>
        </is>
      </c>
      <c r="B5" s="3" t="inlineStr">
        <is>
          <t>Primitive</t>
        </is>
      </c>
      <c r="C5" s="3" t="inlineStr">
        <is>
          <t>Formal expression</t>
        </is>
      </c>
      <c r="D5" s="3" t="inlineStr">
        <is>
          <t>Interpretation</t>
        </is>
      </c>
      <c r="E5" s="3" t="inlineStr">
        <is>
          <t>Type</t>
        </is>
      </c>
      <c r="F5" s="3" t="inlineStr">
        <is>
          <t>Depends on</t>
        </is>
      </c>
      <c r="G5" s="3" t="inlineStr">
        <is>
          <t>Status</t>
        </is>
      </c>
    </row>
    <row r="6">
      <c r="A6" s="4" t="inlineStr">
        <is>
          <t>G-001</t>
        </is>
      </c>
      <c r="B6" s="4" t="inlineStr">
        <is>
          <t>Distinction</t>
        </is>
      </c>
      <c r="C6" s="4" t="inlineStr">
        <is>
          <t>D</t>
        </is>
      </c>
      <c r="D6" s="4" t="inlineStr">
        <is>
          <t>Separates states/entities/conditions.</t>
        </is>
      </c>
      <c r="E6" s="4" t="inlineStr">
        <is>
          <t>Primitive</t>
        </is>
      </c>
      <c r="F6" s="4" t="inlineStr">
        <is>
          <t>—</t>
        </is>
      </c>
      <c r="G6" s="4" t="inlineStr">
        <is>
          <t>CANONICAL</t>
        </is>
      </c>
    </row>
    <row r="7">
      <c r="A7" s="4" t="inlineStr">
        <is>
          <t>G-002</t>
        </is>
      </c>
      <c r="B7" s="4" t="inlineStr">
        <is>
          <t>Transformation</t>
        </is>
      </c>
      <c r="C7" s="4" t="inlineStr">
        <is>
          <t>T</t>
        </is>
      </c>
      <c r="D7" s="4" t="inlineStr">
        <is>
          <t>Maps one state/configuration into another.</t>
        </is>
      </c>
      <c r="E7" s="4" t="inlineStr">
        <is>
          <t>Primitive</t>
        </is>
      </c>
      <c r="F7" s="4" t="inlineStr">
        <is>
          <t>D</t>
        </is>
      </c>
      <c r="G7" s="4" t="inlineStr">
        <is>
          <t>CANONICAL</t>
        </is>
      </c>
    </row>
    <row r="8">
      <c r="A8" s="4" t="inlineStr">
        <is>
          <t>G-003</t>
        </is>
      </c>
      <c r="B8" s="4" t="inlineStr">
        <is>
          <t>Constraint</t>
        </is>
      </c>
      <c r="C8" s="4" t="inlineStr">
        <is>
          <t>C</t>
        </is>
      </c>
      <c r="D8" s="4" t="inlineStr">
        <is>
          <t>Restricts admissible transformations/states.</t>
        </is>
      </c>
      <c r="E8" s="4" t="inlineStr">
        <is>
          <t>Primitive</t>
        </is>
      </c>
      <c r="F8" s="4" t="inlineStr">
        <is>
          <t>D,T</t>
        </is>
      </c>
      <c r="G8" s="4" t="inlineStr">
        <is>
          <t>CANONICAL</t>
        </is>
      </c>
    </row>
    <row r="9">
      <c r="A9" s="4" t="inlineStr">
        <is>
          <t>G-004</t>
        </is>
      </c>
      <c r="B9" s="4" t="inlineStr">
        <is>
          <t>Universal grammar</t>
        </is>
      </c>
      <c r="C9" s="4" t="inlineStr">
        <is>
          <t>Γ = D ∘ T ∘ C</t>
        </is>
      </c>
      <c r="D9" s="4" t="inlineStr">
        <is>
          <t>Minimal generative organizational grammar.</t>
        </is>
      </c>
      <c r="E9" s="4" t="inlineStr">
        <is>
          <t>Meta-operator</t>
        </is>
      </c>
      <c r="F9" s="4" t="inlineStr">
        <is>
          <t>D,T,C</t>
        </is>
      </c>
      <c r="G9" s="4" t="inlineStr">
        <is>
          <t>CANONICAL</t>
        </is>
      </c>
    </row>
    <row r="10">
      <c r="A10" s="4" t="inlineStr">
        <is>
          <t>G-005</t>
        </is>
      </c>
      <c r="B10" s="4" t="inlineStr">
        <is>
          <t>State recursion</t>
        </is>
      </c>
      <c r="C10" s="4" t="inlineStr">
        <is>
          <t>X_(t+1)=C(T(D(X_t)))</t>
        </is>
      </c>
      <c r="D10" s="4" t="inlineStr">
        <is>
          <t>Canonical organizational update.</t>
        </is>
      </c>
      <c r="E10" s="4" t="inlineStr">
        <is>
          <t>Recursion</t>
        </is>
      </c>
      <c r="F10" s="4" t="inlineStr">
        <is>
          <t>Γ</t>
        </is>
      </c>
      <c r="G10" s="4" t="inlineStr">
        <is>
          <t>CANONICAL</t>
        </is>
      </c>
    </row>
    <row r="11">
      <c r="A11" s="4" t="inlineStr">
        <is>
          <t>G-006</t>
        </is>
      </c>
      <c r="B11" s="4" t="inlineStr">
        <is>
          <t>Fixed point</t>
        </is>
      </c>
      <c r="C11" s="4" t="inlineStr">
        <is>
          <t>X*=Γ[X*]</t>
        </is>
      </c>
      <c r="D11" s="4" t="inlineStr">
        <is>
          <t>Organizational equilibrium condition.</t>
        </is>
      </c>
      <c r="E11" s="4" t="inlineStr">
        <is>
          <t>Invariant</t>
        </is>
      </c>
      <c r="F11" s="4" t="inlineStr">
        <is>
          <t>Γ</t>
        </is>
      </c>
      <c r="G11" s="4" t="inlineStr">
        <is>
          <t>CANONICAL</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tabColor rgb="002B7A78"/>
    <outlinePr summaryBelow="1" summaryRight="1"/>
    <pageSetUpPr fitToPage="1"/>
  </sheetPr>
  <dimension ref="A1:H15"/>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0" customWidth="1" min="2" max="2"/>
    <col width="22" customWidth="1" min="3" max="3"/>
    <col width="50" customWidth="1" min="4" max="4"/>
    <col width="30" customWidth="1" min="5" max="5"/>
    <col width="28" customWidth="1" min="6" max="6"/>
    <col width="24" customWidth="1" min="7" max="7"/>
    <col width="36" customWidth="1" min="8" max="8"/>
  </cols>
  <sheetData>
    <row r="1" ht="32" customHeight="1">
      <c r="A1" s="1" t="inlineStr">
        <is>
          <t>CANONICAL REGISTRIES</t>
        </is>
      </c>
    </row>
    <row r="2" ht="34" customHeight="1">
      <c r="A2" s="2" t="inlineStr">
        <is>
          <t>Typed registry structure for primitives, operators, invariants, representations, and translations.</t>
        </is>
      </c>
    </row>
    <row r="5" ht="28" customHeight="1">
      <c r="A5" s="3" t="inlineStr">
        <is>
          <t>Registry ID</t>
        </is>
      </c>
      <c r="B5" s="3" t="inlineStr">
        <is>
          <t>Registry</t>
        </is>
      </c>
      <c r="C5" s="3" t="inlineStr">
        <is>
          <t>Object</t>
        </is>
      </c>
      <c r="D5" s="3" t="inlineStr">
        <is>
          <t>Canonical form</t>
        </is>
      </c>
      <c r="E5" s="3" t="inlineStr">
        <is>
          <t>Role</t>
        </is>
      </c>
      <c r="F5" s="3" t="inlineStr">
        <is>
          <t>Upstream dependency</t>
        </is>
      </c>
      <c r="G5" s="3" t="inlineStr">
        <is>
          <t>Status</t>
        </is>
      </c>
      <c r="H5" s="3" t="inlineStr">
        <is>
          <t>Notes</t>
        </is>
      </c>
    </row>
    <row r="6">
      <c r="A6" s="4" t="inlineStr">
        <is>
          <t>REG-001</t>
        </is>
      </c>
      <c r="B6" s="4" t="inlineStr">
        <is>
          <t>Primitive Registry</t>
        </is>
      </c>
      <c r="C6" s="4" t="inlineStr">
        <is>
          <t>D</t>
        </is>
      </c>
      <c r="D6" s="4" t="inlineStr">
        <is>
          <t>Distinction</t>
        </is>
      </c>
      <c r="E6" s="4" t="inlineStr">
        <is>
          <t>Universal primitive</t>
        </is>
      </c>
      <c r="F6" s="4" t="inlineStr">
        <is>
          <t>—</t>
        </is>
      </c>
      <c r="G6" s="4" t="inlineStr">
        <is>
          <t>ACTIVE</t>
        </is>
      </c>
      <c r="H6" s="4" t="inlineStr"/>
    </row>
    <row r="7">
      <c r="A7" s="4" t="inlineStr">
        <is>
          <t>REG-002</t>
        </is>
      </c>
      <c r="B7" s="4" t="inlineStr">
        <is>
          <t>Primitive Registry</t>
        </is>
      </c>
      <c r="C7" s="4" t="inlineStr">
        <is>
          <t>T</t>
        </is>
      </c>
      <c r="D7" s="4" t="inlineStr">
        <is>
          <t>Transformation</t>
        </is>
      </c>
      <c r="E7" s="4" t="inlineStr">
        <is>
          <t>Universal primitive</t>
        </is>
      </c>
      <c r="F7" s="4" t="inlineStr">
        <is>
          <t>D</t>
        </is>
      </c>
      <c r="G7" s="4" t="inlineStr">
        <is>
          <t>ACTIVE</t>
        </is>
      </c>
      <c r="H7" s="4" t="inlineStr"/>
    </row>
    <row r="8">
      <c r="A8" s="4" t="inlineStr">
        <is>
          <t>REG-003</t>
        </is>
      </c>
      <c r="B8" s="4" t="inlineStr">
        <is>
          <t>Primitive Registry</t>
        </is>
      </c>
      <c r="C8" s="4" t="inlineStr">
        <is>
          <t>C</t>
        </is>
      </c>
      <c r="D8" s="4" t="inlineStr">
        <is>
          <t>Constraint</t>
        </is>
      </c>
      <c r="E8" s="4" t="inlineStr">
        <is>
          <t>Universal primitive</t>
        </is>
      </c>
      <c r="F8" s="4" t="inlineStr">
        <is>
          <t>D,T</t>
        </is>
      </c>
      <c r="G8" s="4" t="inlineStr">
        <is>
          <t>ACTIVE</t>
        </is>
      </c>
      <c r="H8" s="4" t="inlineStr"/>
    </row>
    <row r="9">
      <c r="A9" s="4" t="inlineStr">
        <is>
          <t>REG-004</t>
        </is>
      </c>
      <c r="B9" s="4" t="inlineStr">
        <is>
          <t>Operator Registry</t>
        </is>
      </c>
      <c r="C9" s="4" t="inlineStr">
        <is>
          <t>Γ</t>
        </is>
      </c>
      <c r="D9" s="4" t="inlineStr">
        <is>
          <t>D ∘ T ∘ C</t>
        </is>
      </c>
      <c r="E9" s="4" t="inlineStr">
        <is>
          <t>Universal grammar</t>
        </is>
      </c>
      <c r="F9" s="4" t="inlineStr">
        <is>
          <t>D,T,C</t>
        </is>
      </c>
      <c r="G9" s="4" t="inlineStr">
        <is>
          <t>ACTIVE</t>
        </is>
      </c>
      <c r="H9" s="4" t="inlineStr"/>
    </row>
    <row r="10">
      <c r="A10" s="4" t="inlineStr">
        <is>
          <t>REG-005</t>
        </is>
      </c>
      <c r="B10" s="4" t="inlineStr">
        <is>
          <t>Operator Registry</t>
        </is>
      </c>
      <c r="C10" s="4" t="inlineStr">
        <is>
          <t>L</t>
        </is>
      </c>
      <c r="D10" s="4" t="inlineStr">
        <is>
          <t>Graph Laplacian / structural operator</t>
        </is>
      </c>
      <c r="E10" s="4" t="inlineStr">
        <is>
          <t>Organization dynamics</t>
        </is>
      </c>
      <c r="F10" s="4" t="inlineStr">
        <is>
          <t>G</t>
        </is>
      </c>
      <c r="G10" s="4" t="inlineStr">
        <is>
          <t>ACTIVE</t>
        </is>
      </c>
      <c r="H10" s="4" t="inlineStr">
        <is>
          <t>Physics realization</t>
        </is>
      </c>
    </row>
    <row r="11">
      <c r="A11" s="4" t="inlineStr">
        <is>
          <t>REG-006</t>
        </is>
      </c>
      <c r="B11" s="4" t="inlineStr">
        <is>
          <t>Invariant Registry</t>
        </is>
      </c>
      <c r="C11" s="4" t="inlineStr">
        <is>
          <t>Π</t>
        </is>
      </c>
      <c r="D11" s="4" t="inlineStr">
        <is>
          <t>Persistence sector</t>
        </is>
      </c>
      <c r="E11" s="4" t="inlineStr">
        <is>
          <t>Stable organization</t>
        </is>
      </c>
      <c r="F11" s="4" t="inlineStr">
        <is>
          <t>Spec(L)</t>
        </is>
      </c>
      <c r="G11" s="4" t="inlineStr">
        <is>
          <t>ACTIVE</t>
        </is>
      </c>
      <c r="H11" s="4" t="inlineStr"/>
    </row>
    <row r="12">
      <c r="A12" s="4" t="inlineStr">
        <is>
          <t>REG-007</t>
        </is>
      </c>
      <c r="B12" s="4" t="inlineStr">
        <is>
          <t>Dependency Registry</t>
        </is>
      </c>
      <c r="C12" s="4" t="inlineStr">
        <is>
          <t>≺</t>
        </is>
      </c>
      <c r="D12" s="4" t="inlineStr">
        <is>
          <t>Dependency relation</t>
        </is>
      </c>
      <c r="E12" s="4" t="inlineStr">
        <is>
          <t>Ordering / causality of derivation</t>
        </is>
      </c>
      <c r="F12" s="4" t="inlineStr">
        <is>
          <t>—</t>
        </is>
      </c>
      <c r="G12" s="4" t="inlineStr">
        <is>
          <t>ACTIVE</t>
        </is>
      </c>
      <c r="H12" s="4" t="inlineStr"/>
    </row>
    <row r="13">
      <c r="A13" s="4" t="inlineStr">
        <is>
          <t>REG-008</t>
        </is>
      </c>
      <c r="B13" s="4" t="inlineStr">
        <is>
          <t>Representation Registry</t>
        </is>
      </c>
      <c r="C13" s="4" t="inlineStr">
        <is>
          <t>R_α</t>
        </is>
      </c>
      <c r="D13" s="4" t="inlineStr">
        <is>
          <t>Domain realization</t>
        </is>
      </c>
      <c r="E13" s="4" t="inlineStr">
        <is>
          <t>Compiled representation</t>
        </is>
      </c>
      <c r="F13" s="4" t="inlineStr">
        <is>
          <t>Γ</t>
        </is>
      </c>
      <c r="G13" s="4" t="inlineStr">
        <is>
          <t>ACTIVE</t>
        </is>
      </c>
      <c r="H13" s="4" t="inlineStr"/>
    </row>
    <row r="14">
      <c r="A14" s="4" t="inlineStr">
        <is>
          <t>REG-009</t>
        </is>
      </c>
      <c r="B14" s="4" t="inlineStr">
        <is>
          <t>Translation Registry</t>
        </is>
      </c>
      <c r="C14" s="4" t="inlineStr">
        <is>
          <t>𝓡_α</t>
        </is>
      </c>
      <c r="D14" s="4" t="inlineStr">
        <is>
          <t>Domain ↔ Rosetta translation</t>
        </is>
      </c>
      <c r="E14" s="4" t="inlineStr">
        <is>
          <t>Interoperability</t>
        </is>
      </c>
      <c r="F14" s="4" t="inlineStr">
        <is>
          <t>R_α, Γ</t>
        </is>
      </c>
      <c r="G14" s="4" t="inlineStr">
        <is>
          <t>ACTIVE</t>
        </is>
      </c>
      <c r="H14" s="4" t="inlineStr"/>
    </row>
    <row r="15">
      <c r="A15" s="4" t="inlineStr">
        <is>
          <t>REG-010</t>
        </is>
      </c>
      <c r="B15" s="4" t="inlineStr">
        <is>
          <t>Admissibility Registry</t>
        </is>
      </c>
      <c r="C15" s="4" t="inlineStr">
        <is>
          <t>Adm(x)</t>
        </is>
      </c>
      <c r="D15" s="4" t="inlineStr">
        <is>
          <t>Active-state predicate</t>
        </is>
      </c>
      <c r="E15" s="4" t="inlineStr">
        <is>
          <t>Leakage control</t>
        </is>
      </c>
      <c r="F15" s="4" t="inlineStr">
        <is>
          <t>Status</t>
        </is>
      </c>
      <c r="G15" s="4" t="inlineStr">
        <is>
          <t>ACTIVE</t>
        </is>
      </c>
      <c r="H15"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C89B3C"/>
    <outlinePr summaryBelow="1" summaryRight="1"/>
    <pageSetUpPr fitToPage="1"/>
  </sheetPr>
  <dimension ref="A1:G17"/>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28" customWidth="1" min="2" max="2"/>
    <col width="28" customWidth="1" min="3" max="3"/>
    <col width="42" customWidth="1" min="4" max="4"/>
    <col width="24" customWidth="1" min="5" max="5"/>
    <col width="26" customWidth="1" min="6" max="6"/>
    <col width="42" customWidth="1" min="7" max="7"/>
  </cols>
  <sheetData>
    <row r="1" ht="32" customHeight="1">
      <c r="A1" s="1" t="inlineStr">
        <is>
          <t>MASTER DEPENDENCY DAG</t>
        </is>
      </c>
    </row>
    <row r="2" ht="34" customHeight="1">
      <c r="A2" s="2" t="inlineStr">
        <is>
          <t>Canonical dependency ordering for the Rosetta architecture.</t>
        </is>
      </c>
    </row>
    <row r="5" ht="28" customHeight="1">
      <c r="A5" s="3" t="inlineStr">
        <is>
          <t>Link ID</t>
        </is>
      </c>
      <c r="B5" s="3" t="inlineStr">
        <is>
          <t>Upstream</t>
        </is>
      </c>
      <c r="C5" s="3" t="inlineStr">
        <is>
          <t>Relation</t>
        </is>
      </c>
      <c r="D5" s="3" t="inlineStr">
        <is>
          <t>Downstream</t>
        </is>
      </c>
      <c r="E5" s="3" t="inlineStr">
        <is>
          <t>Class</t>
        </is>
      </c>
      <c r="F5" s="3" t="inlineStr">
        <is>
          <t>Status</t>
        </is>
      </c>
      <c r="G5" s="3" t="inlineStr">
        <is>
          <t>Interpretation</t>
        </is>
      </c>
    </row>
    <row r="6">
      <c r="A6" s="4" t="inlineStr">
        <is>
          <t>DAG-001</t>
        </is>
      </c>
      <c r="B6" s="4" t="inlineStr">
        <is>
          <t>Γ</t>
        </is>
      </c>
      <c r="C6" s="4" t="inlineStr">
        <is>
          <t>≺</t>
        </is>
      </c>
      <c r="D6" s="4" t="inlineStr">
        <is>
          <t>ARBS</t>
        </is>
      </c>
      <c r="E6" s="4" t="inlineStr">
        <is>
          <t>Realization</t>
        </is>
      </c>
      <c r="F6" s="4" t="inlineStr">
        <is>
          <t>ACTIVE</t>
        </is>
      </c>
      <c r="G6" s="4" t="inlineStr">
        <is>
          <t>Universal grammar precedes organizational realization.</t>
        </is>
      </c>
    </row>
    <row r="7">
      <c r="A7" s="4" t="inlineStr">
        <is>
          <t>DAG-002</t>
        </is>
      </c>
      <c r="B7" s="4" t="inlineStr">
        <is>
          <t>ARBS</t>
        </is>
      </c>
      <c r="C7" s="4" t="inlineStr">
        <is>
          <t>≺</t>
        </is>
      </c>
      <c r="D7" s="4" t="inlineStr">
        <is>
          <t>G★</t>
        </is>
      </c>
      <c r="E7" s="4" t="inlineStr">
        <is>
          <t>Selection</t>
        </is>
      </c>
      <c r="F7" s="4" t="inlineStr">
        <is>
          <t>ACTIVE</t>
        </is>
      </c>
      <c r="G7" s="4" t="inlineStr">
        <is>
          <t>Shell/organizational selection must precede its spectral realization.</t>
        </is>
      </c>
    </row>
    <row r="8">
      <c r="A8" s="4" t="inlineStr">
        <is>
          <t>DAG-003</t>
        </is>
      </c>
      <c r="B8" s="4" t="inlineStr">
        <is>
          <t>G★</t>
        </is>
      </c>
      <c r="C8" s="4" t="inlineStr">
        <is>
          <t>≺</t>
        </is>
      </c>
      <c r="D8" s="4" t="inlineStr">
        <is>
          <t>B</t>
        </is>
      </c>
      <c r="E8" s="4" t="inlineStr">
        <is>
          <t>Construction</t>
        </is>
      </c>
      <c r="F8" s="4" t="inlineStr">
        <is>
          <t>ACTIVE</t>
        </is>
      </c>
      <c r="G8" s="4" t="inlineStr">
        <is>
          <t>Selected organization determines incidence structure.</t>
        </is>
      </c>
    </row>
    <row r="9">
      <c r="A9" s="4" t="inlineStr">
        <is>
          <t>DAG-004</t>
        </is>
      </c>
      <c r="B9" s="4" t="inlineStr">
        <is>
          <t>B</t>
        </is>
      </c>
      <c r="C9" s="4" t="inlineStr">
        <is>
          <t>≺</t>
        </is>
      </c>
      <c r="D9" s="4" t="inlineStr">
        <is>
          <t>L</t>
        </is>
      </c>
      <c r="E9" s="4" t="inlineStr">
        <is>
          <t>Operator</t>
        </is>
      </c>
      <c r="F9" s="4" t="inlineStr">
        <is>
          <t>ACTIVE</t>
        </is>
      </c>
      <c r="G9" s="4" t="inlineStr">
        <is>
          <t>L = B Bᵀ.</t>
        </is>
      </c>
    </row>
    <row r="10">
      <c r="A10" s="4" t="inlineStr">
        <is>
          <t>DAG-005</t>
        </is>
      </c>
      <c r="B10" s="4" t="inlineStr">
        <is>
          <t>L</t>
        </is>
      </c>
      <c r="C10" s="4" t="inlineStr">
        <is>
          <t>≺</t>
        </is>
      </c>
      <c r="D10" s="4" t="inlineStr">
        <is>
          <t>D_G</t>
        </is>
      </c>
      <c r="E10" s="4" t="inlineStr">
        <is>
          <t>Lift</t>
        </is>
      </c>
      <c r="F10" s="4" t="inlineStr">
        <is>
          <t>ACTIVE</t>
        </is>
      </c>
      <c r="G10" s="4" t="inlineStr">
        <is>
          <t>Dirac construction from incidence data.</t>
        </is>
      </c>
    </row>
    <row r="11">
      <c r="A11" s="4" t="inlineStr">
        <is>
          <t>DAG-006</t>
        </is>
      </c>
      <c r="B11" s="4" t="inlineStr">
        <is>
          <t>D_G</t>
        </is>
      </c>
      <c r="C11" s="4" t="inlineStr">
        <is>
          <t>≺</t>
        </is>
      </c>
      <c r="D11" s="4" t="inlineStr">
        <is>
          <t>Spec|D_G|</t>
        </is>
      </c>
      <c r="E11" s="4" t="inlineStr">
        <is>
          <t>Spectral</t>
        </is>
      </c>
      <c r="F11" s="4" t="inlineStr">
        <is>
          <t>ACTIVE</t>
        </is>
      </c>
      <c r="G11" s="4" t="inlineStr">
        <is>
          <t>Positive singular spectrum.</t>
        </is>
      </c>
    </row>
    <row r="12">
      <c r="A12" s="4" t="inlineStr">
        <is>
          <t>DAG-007</t>
        </is>
      </c>
      <c r="B12" s="4" t="inlineStr">
        <is>
          <t>Spec(L)</t>
        </is>
      </c>
      <c r="C12" s="4" t="inlineStr">
        <is>
          <t>≺</t>
        </is>
      </c>
      <c r="D12" s="4" t="inlineStr">
        <is>
          <t>Π</t>
        </is>
      </c>
      <c r="E12" s="4" t="inlineStr">
        <is>
          <t>Persistence</t>
        </is>
      </c>
      <c r="F12" s="4" t="inlineStr">
        <is>
          <t>ACTIVE</t>
        </is>
      </c>
      <c r="G12" s="4" t="inlineStr">
        <is>
          <t>Persistent sector is spectral.</t>
        </is>
      </c>
    </row>
    <row r="13">
      <c r="A13" s="4" t="inlineStr">
        <is>
          <t>DAG-008</t>
        </is>
      </c>
      <c r="B13" s="4" t="inlineStr">
        <is>
          <t>Π</t>
        </is>
      </c>
      <c r="C13" s="4" t="inlineStr">
        <is>
          <t>≺</t>
        </is>
      </c>
      <c r="D13" s="4" t="inlineStr">
        <is>
          <t>d</t>
        </is>
      </c>
      <c r="E13" s="4" t="inlineStr">
        <is>
          <t>Geometry</t>
        </is>
      </c>
      <c r="F13" s="4" t="inlineStr">
        <is>
          <t>ACTIVE</t>
        </is>
      </c>
      <c r="G13" s="4" t="inlineStr">
        <is>
          <t>Spectral distance / relational metric.</t>
        </is>
      </c>
    </row>
    <row r="14">
      <c r="A14" s="4" t="inlineStr">
        <is>
          <t>DAG-009</t>
        </is>
      </c>
      <c r="B14" s="4" t="inlineStr">
        <is>
          <t>d</t>
        </is>
      </c>
      <c r="C14" s="4" t="inlineStr">
        <is>
          <t>≺</t>
        </is>
      </c>
      <c r="D14" s="4" t="inlineStr">
        <is>
          <t>g_μν</t>
        </is>
      </c>
      <c r="E14" s="4" t="inlineStr">
        <is>
          <t>Geometry</t>
        </is>
      </c>
      <c r="F14" s="4" t="inlineStr">
        <is>
          <t>ACTIVE</t>
        </is>
      </c>
      <c r="G14" s="4" t="inlineStr">
        <is>
          <t>Continuum metric representation.</t>
        </is>
      </c>
    </row>
    <row r="15">
      <c r="A15" s="4" t="inlineStr">
        <is>
          <t>DAG-010</t>
        </is>
      </c>
      <c r="B15" s="4" t="inlineStr">
        <is>
          <t>g_μν</t>
        </is>
      </c>
      <c r="C15" s="4" t="inlineStr">
        <is>
          <t>≺</t>
        </is>
      </c>
      <c r="D15" s="4" t="inlineStr">
        <is>
          <t>R_μν</t>
        </is>
      </c>
      <c r="E15" s="4" t="inlineStr">
        <is>
          <t>Curvature</t>
        </is>
      </c>
      <c r="F15" s="4" t="inlineStr">
        <is>
          <t>ACTIVE</t>
        </is>
      </c>
      <c r="G15" s="4" t="inlineStr">
        <is>
          <t>Curvature realization.</t>
        </is>
      </c>
    </row>
    <row r="16">
      <c r="A16" s="4" t="inlineStr">
        <is>
          <t>DAG-011</t>
        </is>
      </c>
      <c r="B16" s="4" t="inlineStr">
        <is>
          <t>R_μν</t>
        </is>
      </c>
      <c r="C16" s="4" t="inlineStr">
        <is>
          <t>≺</t>
        </is>
      </c>
      <c r="D16" s="4" t="inlineStr">
        <is>
          <t>G_μν</t>
        </is>
      </c>
      <c r="E16" s="4" t="inlineStr">
        <is>
          <t>Field</t>
        </is>
      </c>
      <c r="F16" s="4" t="inlineStr">
        <is>
          <t>ACTIVE</t>
        </is>
      </c>
      <c r="G16" s="4" t="inlineStr">
        <is>
          <t>Continuum field representation.</t>
        </is>
      </c>
    </row>
    <row r="17">
      <c r="A17" s="4" t="inlineStr">
        <is>
          <t>DAG-012</t>
        </is>
      </c>
      <c r="B17" s="4" t="inlineStr">
        <is>
          <t>Representation</t>
        </is>
      </c>
      <c r="C17" s="4" t="inlineStr">
        <is>
          <t>≺</t>
        </is>
      </c>
      <c r="D17" s="4" t="inlineStr">
        <is>
          <t>Translation</t>
        </is>
      </c>
      <c r="E17" s="4" t="inlineStr">
        <is>
          <t>Output</t>
        </is>
      </c>
      <c r="F17" s="4" t="inlineStr">
        <is>
          <t>ACTIVE</t>
        </is>
      </c>
      <c r="G17" s="4" t="inlineStr">
        <is>
          <t>Domain observables are downstream of representation.</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2F5D8C"/>
    <outlinePr summaryBelow="1" summaryRight="1"/>
    <pageSetUpPr fitToPage="1"/>
  </sheetPr>
  <dimension ref="A1:H18"/>
  <sheetViews>
    <sheetView showGridLines="0" zoomScale="90" workbookViewId="0">
      <pane ySplit="5" topLeftCell="A6" activePane="bottomLeft" state="frozen"/>
      <selection pane="bottomLeft" activeCell="A1" sqref="A1"/>
    </sheetView>
  </sheetViews>
  <sheetFormatPr baseColWidth="8" defaultRowHeight="15"/>
  <cols>
    <col width="20" customWidth="1" min="1" max="1"/>
    <col width="28" customWidth="1" min="2" max="2"/>
    <col width="34" customWidth="1" min="3" max="3"/>
    <col width="34" customWidth="1" min="4" max="4"/>
    <col width="34" customWidth="1" min="5" max="5"/>
    <col width="34" customWidth="1" min="6" max="6"/>
    <col width="34" customWidth="1" min="7" max="7"/>
    <col width="42" customWidth="1" min="8" max="8"/>
  </cols>
  <sheetData>
    <row r="1" ht="32" customHeight="1">
      <c r="A1" s="1" t="inlineStr">
        <is>
          <t>DOMAIN TRANSLATION MATRIX</t>
        </is>
      </c>
    </row>
    <row r="2" ht="34" customHeight="1">
      <c r="A2" s="2" t="inlineStr">
        <is>
          <t>Universal Rosetta layers mapped across representative domain realizations.</t>
        </is>
      </c>
    </row>
    <row r="5" ht="28" customHeight="1">
      <c r="A5" s="3" t="inlineStr">
        <is>
          <t>Rosetta Layer</t>
        </is>
      </c>
      <c r="B5" s="3" t="inlineStr">
        <is>
          <t>Universal object</t>
        </is>
      </c>
      <c r="C5" s="3" t="inlineStr">
        <is>
          <t>Physics</t>
        </is>
      </c>
      <c r="D5" s="3" t="inlineStr">
        <is>
          <t>Biology</t>
        </is>
      </c>
      <c r="E5" s="3" t="inlineStr">
        <is>
          <t>Chemistry</t>
        </is>
      </c>
      <c r="F5" s="3" t="inlineStr">
        <is>
          <t>Ecology</t>
        </is>
      </c>
      <c r="G5" s="3" t="inlineStr">
        <is>
          <t>Institutional systems</t>
        </is>
      </c>
      <c r="H5" s="3" t="inlineStr">
        <is>
          <t>Translation rule</t>
        </is>
      </c>
    </row>
    <row r="6">
      <c r="A6" s="4" t="inlineStr">
        <is>
          <t>R0</t>
        </is>
      </c>
      <c r="B6" s="4" t="inlineStr">
        <is>
          <t>Distinction D</t>
        </is>
      </c>
      <c r="C6" s="4" t="inlineStr">
        <is>
          <t>states/modes</t>
        </is>
      </c>
      <c r="D6" s="4" t="inlineStr">
        <is>
          <t>molecules/cells/states</t>
        </is>
      </c>
      <c r="E6" s="4" t="inlineStr">
        <is>
          <t>species/compounds/states</t>
        </is>
      </c>
      <c r="F6" s="4" t="inlineStr">
        <is>
          <t>populations/states</t>
        </is>
      </c>
      <c r="G6" s="4" t="inlineStr">
        <is>
          <t>roles/actors/states</t>
        </is>
      </c>
      <c r="H6" s="4" t="inlineStr">
        <is>
          <t>identify distinguishable configurations</t>
        </is>
      </c>
    </row>
    <row r="7">
      <c r="A7" s="4" t="inlineStr">
        <is>
          <t>R1</t>
        </is>
      </c>
      <c r="B7" s="4" t="inlineStr">
        <is>
          <t>Transformation T</t>
        </is>
      </c>
      <c r="C7" s="4" t="inlineStr">
        <is>
          <t>operator/dynamics</t>
        </is>
      </c>
      <c r="D7" s="4" t="inlineStr">
        <is>
          <t>reaction/regulation</t>
        </is>
      </c>
      <c r="E7" s="4" t="inlineStr">
        <is>
          <t>reaction/bond change</t>
        </is>
      </c>
      <c r="F7" s="4" t="inlineStr">
        <is>
          <t>growth/interaction</t>
        </is>
      </c>
      <c r="G7" s="4" t="inlineStr">
        <is>
          <t>decision/process</t>
        </is>
      </c>
      <c r="H7" s="4" t="inlineStr">
        <is>
          <t>map state transition</t>
        </is>
      </c>
    </row>
    <row r="8">
      <c r="A8" s="4" t="inlineStr">
        <is>
          <t>R2</t>
        </is>
      </c>
      <c r="B8" s="4" t="inlineStr">
        <is>
          <t>Constraint C</t>
        </is>
      </c>
      <c r="C8" s="4" t="inlineStr">
        <is>
          <t>conservation/boundary</t>
        </is>
      </c>
      <c r="D8" s="4" t="inlineStr">
        <is>
          <t>viability/regulation</t>
        </is>
      </c>
      <c r="E8" s="4" t="inlineStr">
        <is>
          <t>stoichiometry/energy</t>
        </is>
      </c>
      <c r="F8" s="4" t="inlineStr">
        <is>
          <t>resource/competition</t>
        </is>
      </c>
      <c r="G8" s="4" t="inlineStr">
        <is>
          <t>rules/institutions</t>
        </is>
      </c>
      <c r="H8" s="4" t="inlineStr">
        <is>
          <t>restrict admissible transitions</t>
        </is>
      </c>
    </row>
    <row r="9">
      <c r="A9" s="4" t="inlineStr">
        <is>
          <t>R3</t>
        </is>
      </c>
      <c r="B9" s="4" t="inlineStr">
        <is>
          <t>State space S</t>
        </is>
      </c>
      <c r="C9" s="4" t="inlineStr">
        <is>
          <t>Hilbert/graph/phase space</t>
        </is>
      </c>
      <c r="D9" s="4" t="inlineStr">
        <is>
          <t>state/network space</t>
        </is>
      </c>
      <c r="E9" s="4" t="inlineStr">
        <is>
          <t>configuration space</t>
        </is>
      </c>
      <c r="F9" s="4" t="inlineStr">
        <is>
          <t>population state space</t>
        </is>
      </c>
      <c r="G9" s="4" t="inlineStr">
        <is>
          <t>organizational state space</t>
        </is>
      </c>
      <c r="H9" s="4" t="inlineStr">
        <is>
          <t>enumerate admissible states</t>
        </is>
      </c>
    </row>
    <row r="10">
      <c r="A10" s="4" t="inlineStr">
        <is>
          <t>R4</t>
        </is>
      </c>
      <c r="B10" s="4" t="inlineStr">
        <is>
          <t>Organization G</t>
        </is>
      </c>
      <c r="C10" s="4" t="inlineStr">
        <is>
          <t>graph/network</t>
        </is>
      </c>
      <c r="D10" s="4" t="inlineStr">
        <is>
          <t>regulatory network</t>
        </is>
      </c>
      <c r="E10" s="4" t="inlineStr">
        <is>
          <t>reaction network</t>
        </is>
      </c>
      <c r="F10" s="4" t="inlineStr">
        <is>
          <t>food/web network</t>
        </is>
      </c>
      <c r="G10" s="4" t="inlineStr">
        <is>
          <t>institutional network</t>
        </is>
      </c>
      <c r="H10" s="4" t="inlineStr">
        <is>
          <t>encode relations</t>
        </is>
      </c>
    </row>
    <row r="11">
      <c r="A11" s="4" t="inlineStr">
        <is>
          <t>R5</t>
        </is>
      </c>
      <c r="B11" s="4" t="inlineStr">
        <is>
          <t>Operator L</t>
        </is>
      </c>
      <c r="C11" s="4" t="inlineStr">
        <is>
          <t>Laplacian/field operator</t>
        </is>
      </c>
      <c r="D11" s="4" t="inlineStr">
        <is>
          <t>network operator</t>
        </is>
      </c>
      <c r="E11" s="4" t="inlineStr">
        <is>
          <t>reaction operator</t>
        </is>
      </c>
      <c r="F11" s="4" t="inlineStr">
        <is>
          <t>interaction operator</t>
        </is>
      </c>
      <c r="G11" s="4" t="inlineStr">
        <is>
          <t>flow/transition operator</t>
        </is>
      </c>
      <c r="H11" s="4" t="inlineStr">
        <is>
          <t>extract structural dynamics</t>
        </is>
      </c>
    </row>
    <row r="12">
      <c r="A12" s="4" t="inlineStr">
        <is>
          <t>R6</t>
        </is>
      </c>
      <c r="B12" s="4" t="inlineStr">
        <is>
          <t>Spectrum</t>
        </is>
      </c>
      <c r="C12" s="4" t="inlineStr">
        <is>
          <t>modes/scales</t>
        </is>
      </c>
      <c r="D12" s="4" t="inlineStr">
        <is>
          <t>network modes</t>
        </is>
      </c>
      <c r="E12" s="4" t="inlineStr">
        <is>
          <t>reaction modes</t>
        </is>
      </c>
      <c r="F12" s="4" t="inlineStr">
        <is>
          <t>stability modes</t>
        </is>
      </c>
      <c r="G12" s="4" t="inlineStr">
        <is>
          <t>organizational modes</t>
        </is>
      </c>
      <c r="H12" s="4" t="inlineStr">
        <is>
          <t>decompose organization</t>
        </is>
      </c>
    </row>
    <row r="13">
      <c r="A13" s="4" t="inlineStr">
        <is>
          <t>R7</t>
        </is>
      </c>
      <c r="B13" s="4" t="inlineStr">
        <is>
          <t>Persistence Π</t>
        </is>
      </c>
      <c r="C13" s="4" t="inlineStr">
        <is>
          <t>persistent sector</t>
        </is>
      </c>
      <c r="D13" s="4" t="inlineStr">
        <is>
          <t>stable organization</t>
        </is>
      </c>
      <c r="E13" s="4" t="inlineStr">
        <is>
          <t>persistent pathways</t>
        </is>
      </c>
      <c r="F13" s="4" t="inlineStr">
        <is>
          <t>stable populations</t>
        </is>
      </c>
      <c r="G13" s="4" t="inlineStr">
        <is>
          <t>institutional persistence</t>
        </is>
      </c>
      <c r="H13" s="4" t="inlineStr">
        <is>
          <t>select persistent structure</t>
        </is>
      </c>
    </row>
    <row r="14">
      <c r="A14" s="4" t="inlineStr">
        <is>
          <t>R8</t>
        </is>
      </c>
      <c r="B14" s="4" t="inlineStr">
        <is>
          <t>Metric g</t>
        </is>
      </c>
      <c r="C14" s="4" t="inlineStr">
        <is>
          <t>spectral geometry</t>
        </is>
      </c>
      <c r="D14" s="4" t="inlineStr">
        <is>
          <t>state similarity</t>
        </is>
      </c>
      <c r="E14" s="4" t="inlineStr">
        <is>
          <t>configuration distance</t>
        </is>
      </c>
      <c r="F14" s="4" t="inlineStr">
        <is>
          <t>ecological distance</t>
        </is>
      </c>
      <c r="G14" s="4" t="inlineStr">
        <is>
          <t>relational distance</t>
        </is>
      </c>
      <c r="H14" s="4" t="inlineStr">
        <is>
          <t>derive relational geometry</t>
        </is>
      </c>
    </row>
    <row r="15">
      <c r="A15" s="4" t="inlineStr">
        <is>
          <t>R9</t>
        </is>
      </c>
      <c r="B15" s="4" t="inlineStr">
        <is>
          <t>Curvature R</t>
        </is>
      </c>
      <c r="C15" s="4" t="inlineStr">
        <is>
          <t>spacetime curvature</t>
        </is>
      </c>
      <c r="D15" s="4" t="inlineStr">
        <is>
          <t>state-space curvature</t>
        </is>
      </c>
      <c r="E15" s="4" t="inlineStr">
        <is>
          <t>configuration curvature</t>
        </is>
      </c>
      <c r="F15" s="4" t="inlineStr">
        <is>
          <t>landscape curvature</t>
        </is>
      </c>
      <c r="G15" s="4" t="inlineStr">
        <is>
          <t>organizational curvature</t>
        </is>
      </c>
      <c r="H15" s="4" t="inlineStr">
        <is>
          <t>measure nonuniformity</t>
        </is>
      </c>
    </row>
    <row r="16">
      <c r="A16" s="4" t="inlineStr">
        <is>
          <t>R10</t>
        </is>
      </c>
      <c r="B16" s="4" t="inlineStr">
        <is>
          <t>Effective law</t>
        </is>
      </c>
      <c r="C16" s="4" t="inlineStr">
        <is>
          <t>Einstein/YM/etc.</t>
        </is>
      </c>
      <c r="D16" s="4" t="inlineStr">
        <is>
          <t>population/regulatory law</t>
        </is>
      </c>
      <c r="E16" s="4" t="inlineStr">
        <is>
          <t>kinetic law</t>
        </is>
      </c>
      <c r="F16" s="4" t="inlineStr">
        <is>
          <t>ecological law</t>
        </is>
      </c>
      <c r="G16" s="4" t="inlineStr">
        <is>
          <t>institutional dynamics</t>
        </is>
      </c>
      <c r="H16" s="4" t="inlineStr">
        <is>
          <t>compile governing equations</t>
        </is>
      </c>
    </row>
    <row r="17">
      <c r="A17" s="4" t="inlineStr">
        <is>
          <t>R11</t>
        </is>
      </c>
      <c r="B17" s="4" t="inlineStr">
        <is>
          <t>Representation</t>
        </is>
      </c>
      <c r="C17" s="4" t="inlineStr">
        <is>
          <t>gauge/matter reps</t>
        </is>
      </c>
      <c r="D17" s="4" t="inlineStr">
        <is>
          <t>cell/molecular types</t>
        </is>
      </c>
      <c r="E17" s="4" t="inlineStr">
        <is>
          <t>species/material reps</t>
        </is>
      </c>
      <c r="F17" s="4" t="inlineStr">
        <is>
          <t>population classes</t>
        </is>
      </c>
      <c r="G17" s="4" t="inlineStr">
        <is>
          <t>institutional roles</t>
        </is>
      </c>
      <c r="H17" s="4" t="inlineStr">
        <is>
          <t>instantiate domain types</t>
        </is>
      </c>
    </row>
    <row r="18">
      <c r="A18" s="4" t="inlineStr">
        <is>
          <t>R12</t>
        </is>
      </c>
      <c r="B18" s="4" t="inlineStr">
        <is>
          <t>Translation</t>
        </is>
      </c>
      <c r="C18" s="4" t="inlineStr">
        <is>
          <t>observables</t>
        </is>
      </c>
      <c r="D18" s="4" t="inlineStr">
        <is>
          <t>phenotypes</t>
        </is>
      </c>
      <c r="E18" s="4" t="inlineStr">
        <is>
          <t>measurements</t>
        </is>
      </c>
      <c r="F18" s="4" t="inlineStr">
        <is>
          <t>ecosystem observables</t>
        </is>
      </c>
      <c r="G18" s="4" t="inlineStr">
        <is>
          <t>institutional outcomes</t>
        </is>
      </c>
      <c r="H18" s="4" t="inlineStr">
        <is>
          <t>map canonical representation to domain outputs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tabColor rgb="002B7A78"/>
    <outlinePr summaryBelow="1" summaryRight="1"/>
    <pageSetUpPr fitToPage="1"/>
  </sheetPr>
  <dimension ref="A1:H16"/>
  <sheetViews>
    <sheetView showGridLines="0" zoomScale="90" workbookViewId="0">
      <pane ySplit="5" topLeftCell="A6" activePane="bottomLeft" state="frozen"/>
      <selection pane="bottomLeft" activeCell="A1" sqref="A1"/>
    </sheetView>
  </sheetViews>
  <sheetFormatPr baseColWidth="8" defaultRowHeight="15"/>
  <cols>
    <col width="14" customWidth="1" min="1" max="1"/>
    <col width="30" customWidth="1" min="2" max="2"/>
    <col width="48" customWidth="1" min="3" max="3"/>
    <col width="48" customWidth="1" min="4" max="4"/>
    <col width="38" customWidth="1" min="5" max="5"/>
    <col width="28" customWidth="1" min="6" max="6"/>
    <col width="24" customWidth="1" min="7" max="7"/>
    <col width="44" customWidth="1" min="8" max="8"/>
  </cols>
  <sheetData>
    <row r="1" ht="32" customHeight="1">
      <c r="A1" s="1" t="inlineStr">
        <is>
          <t>UNIVERSAL COMPILER PIPELINE</t>
        </is>
      </c>
    </row>
    <row r="2" ht="34" customHeight="1">
      <c r="A2" s="2" t="inlineStr">
        <is>
          <t>Operational sequence from a domain input to a canonical Rosetta representation.</t>
        </is>
      </c>
    </row>
    <row r="5" ht="28" customHeight="1">
      <c r="A5" s="3" t="inlineStr">
        <is>
          <t>Stage</t>
        </is>
      </c>
      <c r="B5" s="3" t="inlineStr">
        <is>
          <t>Compiler operation</t>
        </is>
      </c>
      <c r="C5" s="3" t="inlineStr">
        <is>
          <t>Input</t>
        </is>
      </c>
      <c r="D5" s="3" t="inlineStr">
        <is>
          <t>Output</t>
        </is>
      </c>
      <c r="E5" s="3" t="inlineStr">
        <is>
          <t>Proof / audit obligation</t>
        </is>
      </c>
      <c r="F5" s="3" t="inlineStr">
        <is>
          <t>Dependency</t>
        </is>
      </c>
      <c r="G5" s="3" t="inlineStr">
        <is>
          <t>Status</t>
        </is>
      </c>
      <c r="H5" s="3" t="inlineStr">
        <is>
          <t>Failure condition</t>
        </is>
      </c>
    </row>
    <row r="6">
      <c r="A6" s="4" t="inlineStr">
        <is>
          <t>P00</t>
        </is>
      </c>
      <c r="B6" s="4" t="inlineStr">
        <is>
          <t>Canonicalize</t>
        </is>
      </c>
      <c r="C6" s="4" t="inlineStr">
        <is>
          <t>Domain theory/data</t>
        </is>
      </c>
      <c r="D6" s="4" t="inlineStr">
        <is>
          <t>Canonical objects</t>
        </is>
      </c>
      <c r="E6" s="4" t="inlineStr">
        <is>
          <t>Traceability</t>
        </is>
      </c>
      <c r="F6" s="4" t="inlineStr">
        <is>
          <t>Domain input</t>
        </is>
      </c>
      <c r="G6" s="4" t="inlineStr">
        <is>
          <t>ACTIVE</t>
        </is>
      </c>
      <c r="H6" s="4" t="inlineStr">
        <is>
          <t>Ambiguous ontology</t>
        </is>
      </c>
    </row>
    <row r="7">
      <c r="A7" s="4" t="inlineStr">
        <is>
          <t>P01</t>
        </is>
      </c>
      <c r="B7" s="4" t="inlineStr">
        <is>
          <t>Distinguish</t>
        </is>
      </c>
      <c r="C7" s="4" t="inlineStr">
        <is>
          <t>Canonical objects</t>
        </is>
      </c>
      <c r="D7" s="4" t="inlineStr">
        <is>
          <t>D</t>
        </is>
      </c>
      <c r="E7" s="4" t="inlineStr">
        <is>
          <t>Primitive independence</t>
        </is>
      </c>
      <c r="F7" s="4" t="inlineStr">
        <is>
          <t>P00</t>
        </is>
      </c>
      <c r="G7" s="4" t="inlineStr">
        <is>
          <t>ACTIVE</t>
        </is>
      </c>
      <c r="H7" s="4" t="inlineStr">
        <is>
          <t>No stable distinctions</t>
        </is>
      </c>
    </row>
    <row r="8">
      <c r="A8" s="4" t="inlineStr">
        <is>
          <t>P02</t>
        </is>
      </c>
      <c r="B8" s="4" t="inlineStr">
        <is>
          <t>Transform</t>
        </is>
      </c>
      <c r="C8" s="4" t="inlineStr">
        <is>
          <t>D + dynamics</t>
        </is>
      </c>
      <c r="D8" s="4" t="inlineStr">
        <is>
          <t>T</t>
        </is>
      </c>
      <c r="E8" s="4" t="inlineStr">
        <is>
          <t>Operator extraction</t>
        </is>
      </c>
      <c r="F8" s="4" t="inlineStr">
        <is>
          <t>P01</t>
        </is>
      </c>
      <c r="G8" s="4" t="inlineStr">
        <is>
          <t>ACTIVE</t>
        </is>
      </c>
      <c r="H8" s="4" t="inlineStr">
        <is>
          <t>No transformation operator</t>
        </is>
      </c>
    </row>
    <row r="9">
      <c r="A9" s="4" t="inlineStr">
        <is>
          <t>P03</t>
        </is>
      </c>
      <c r="B9" s="4" t="inlineStr">
        <is>
          <t>Constrain</t>
        </is>
      </c>
      <c r="C9" s="4" t="inlineStr">
        <is>
          <t>D,T + admissibility</t>
        </is>
      </c>
      <c r="D9" s="4" t="inlineStr">
        <is>
          <t>C</t>
        </is>
      </c>
      <c r="E9" s="4" t="inlineStr">
        <is>
          <t>Constraint sufficiency</t>
        </is>
      </c>
      <c r="F9" s="4" t="inlineStr">
        <is>
          <t>P02</t>
        </is>
      </c>
      <c r="G9" s="4" t="inlineStr">
        <is>
          <t>ACTIVE</t>
        </is>
      </c>
      <c r="H9" s="4" t="inlineStr">
        <is>
          <t>Constraint is downstream</t>
        </is>
      </c>
    </row>
    <row r="10">
      <c r="A10" s="4" t="inlineStr">
        <is>
          <t>P04</t>
        </is>
      </c>
      <c r="B10" s="4" t="inlineStr">
        <is>
          <t>Organize</t>
        </is>
      </c>
      <c r="C10" s="4" t="inlineStr">
        <is>
          <t>D,T,C</t>
        </is>
      </c>
      <c r="D10" s="4" t="inlineStr">
        <is>
          <t>G</t>
        </is>
      </c>
      <c r="E10" s="4" t="inlineStr">
        <is>
          <t>Relation completeness</t>
        </is>
      </c>
      <c r="F10" s="4" t="inlineStr">
        <is>
          <t>P03</t>
        </is>
      </c>
      <c r="G10" s="4" t="inlineStr">
        <is>
          <t>ACTIVE</t>
        </is>
      </c>
      <c r="H10" s="4" t="inlineStr">
        <is>
          <t>Missing relational structure</t>
        </is>
      </c>
    </row>
    <row r="11">
      <c r="A11" s="4" t="inlineStr">
        <is>
          <t>P05</t>
        </is>
      </c>
      <c r="B11" s="4" t="inlineStr">
        <is>
          <t>Operatorize</t>
        </is>
      </c>
      <c r="C11" s="4" t="inlineStr">
        <is>
          <t>G</t>
        </is>
      </c>
      <c r="D11" s="4" t="inlineStr">
        <is>
          <t>L / O</t>
        </is>
      </c>
      <c r="E11" s="4" t="inlineStr">
        <is>
          <t>Operator correctness</t>
        </is>
      </c>
      <c r="F11" s="4" t="inlineStr">
        <is>
          <t>P04</t>
        </is>
      </c>
      <c r="G11" s="4" t="inlineStr">
        <is>
          <t>ACTIVE</t>
        </is>
      </c>
      <c r="H11" s="4" t="inlineStr">
        <is>
          <t>Operator not closed</t>
        </is>
      </c>
    </row>
    <row r="12">
      <c r="A12" s="4" t="inlineStr">
        <is>
          <t>P06</t>
        </is>
      </c>
      <c r="B12" s="4" t="inlineStr">
        <is>
          <t>Spectralize</t>
        </is>
      </c>
      <c r="C12" s="4" t="inlineStr">
        <is>
          <t>L / O</t>
        </is>
      </c>
      <c r="D12" s="4" t="inlineStr">
        <is>
          <t>Spec</t>
        </is>
      </c>
      <c r="E12" s="4" t="inlineStr">
        <is>
          <t>Ordering/degeneracy audit</t>
        </is>
      </c>
      <c r="F12" s="4" t="inlineStr">
        <is>
          <t>P05</t>
        </is>
      </c>
      <c r="G12" s="4" t="inlineStr">
        <is>
          <t>ACTIVE</t>
        </is>
      </c>
      <c r="H12" s="4" t="inlineStr">
        <is>
          <t>Spectrum non-reproducible</t>
        </is>
      </c>
    </row>
    <row r="13">
      <c r="A13" s="4" t="inlineStr">
        <is>
          <t>P07</t>
        </is>
      </c>
      <c r="B13" s="4" t="inlineStr">
        <is>
          <t>Persist</t>
        </is>
      </c>
      <c r="C13" s="4" t="inlineStr">
        <is>
          <t>Spec</t>
        </is>
      </c>
      <c r="D13" s="4" t="inlineStr">
        <is>
          <t>Π</t>
        </is>
      </c>
      <c r="E13" s="4" t="inlineStr">
        <is>
          <t>Persistence criterion</t>
        </is>
      </c>
      <c r="F13" s="4" t="inlineStr">
        <is>
          <t>P06</t>
        </is>
      </c>
      <c r="G13" s="4" t="inlineStr">
        <is>
          <t>ACTIVE</t>
        </is>
      </c>
      <c r="H13" s="4" t="inlineStr">
        <is>
          <t>No source-supported selector</t>
        </is>
      </c>
    </row>
    <row r="14">
      <c r="A14" s="4" t="inlineStr">
        <is>
          <t>P08</t>
        </is>
      </c>
      <c r="B14" s="4" t="inlineStr">
        <is>
          <t>Geometrize</t>
        </is>
      </c>
      <c r="C14" s="4" t="inlineStr">
        <is>
          <t>Π / relations</t>
        </is>
      </c>
      <c r="D14" s="4" t="inlineStr">
        <is>
          <t>d,g,R</t>
        </is>
      </c>
      <c r="E14" s="4" t="inlineStr">
        <is>
          <t>Metric/curvature derivation</t>
        </is>
      </c>
      <c r="F14" s="4" t="inlineStr">
        <is>
          <t>P07</t>
        </is>
      </c>
      <c r="G14" s="4" t="inlineStr">
        <is>
          <t>ACTIVE</t>
        </is>
      </c>
      <c r="H14" s="4" t="inlineStr">
        <is>
          <t>No invariant geometry</t>
        </is>
      </c>
    </row>
    <row r="15">
      <c r="A15" s="4" t="inlineStr">
        <is>
          <t>P09</t>
        </is>
      </c>
      <c r="B15" s="4" t="inlineStr">
        <is>
          <t>Realize</t>
        </is>
      </c>
      <c r="C15" s="4" t="inlineStr">
        <is>
          <t>R / fields</t>
        </is>
      </c>
      <c r="D15" s="4" t="inlineStr">
        <is>
          <t>Domain representation</t>
        </is>
      </c>
      <c r="E15" s="4" t="inlineStr">
        <is>
          <t>Representation consistency</t>
        </is>
      </c>
      <c r="F15" s="4" t="inlineStr">
        <is>
          <t>P08</t>
        </is>
      </c>
      <c r="G15" s="4" t="inlineStr">
        <is>
          <t>ACTIVE</t>
        </is>
      </c>
      <c r="H15" s="4" t="inlineStr">
        <is>
          <t>Representation not closed</t>
        </is>
      </c>
    </row>
    <row r="16">
      <c r="A16" s="4" t="inlineStr">
        <is>
          <t>P10</t>
        </is>
      </c>
      <c r="B16" s="4" t="inlineStr">
        <is>
          <t>Translate</t>
        </is>
      </c>
      <c r="C16" s="4" t="inlineStr">
        <is>
          <t>Representation</t>
        </is>
      </c>
      <c r="D16" s="4" t="inlineStr">
        <is>
          <t>Domain outputs</t>
        </is>
      </c>
      <c r="E16" s="4" t="inlineStr">
        <is>
          <t>Translation invariance</t>
        </is>
      </c>
      <c r="F16" s="4" t="inlineStr">
        <is>
          <t>P09</t>
        </is>
      </c>
      <c r="G16" s="4" t="inlineStr">
        <is>
          <t>ACTIVE</t>
        </is>
      </c>
      <c r="H16" s="4" t="inlineStr">
        <is>
          <t>Target-conditioned mapping</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17233C"/>
    <outlinePr summaryBelow="1" summaryRight="1"/>
    <pageSetUpPr fitToPage="1"/>
  </sheetPr>
  <dimension ref="A1:H20"/>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2" customWidth="1" min="2" max="2"/>
    <col width="40" customWidth="1" min="3" max="3"/>
    <col width="44" customWidth="1" min="4" max="4"/>
    <col width="28" customWidth="1" min="5" max="5"/>
    <col width="28" customWidth="1" min="6" max="6"/>
    <col width="24" customWidth="1" min="7" max="7"/>
    <col width="40" customWidth="1" min="8" max="8"/>
  </cols>
  <sheetData>
    <row r="1" ht="32" customHeight="1">
      <c r="A1" s="1" t="inlineStr">
        <is>
          <t>PHYSICS REALIZATION</t>
        </is>
      </c>
    </row>
    <row r="2" ht="34" customHeight="1">
      <c r="A2" s="2" t="inlineStr">
        <is>
          <t>Existing physics branch represented as a Rosetta implementation rather than as the top-level ontology.</t>
        </is>
      </c>
    </row>
    <row r="5" ht="28" customHeight="1">
      <c r="A5" s="3" t="inlineStr">
        <is>
          <t>Layer</t>
        </is>
      </c>
      <c r="B5" s="3" t="inlineStr">
        <is>
          <t>Object</t>
        </is>
      </c>
      <c r="C5" s="3" t="inlineStr">
        <is>
          <t>Canonical expression</t>
        </is>
      </c>
      <c r="D5" s="3" t="inlineStr">
        <is>
          <t>Role</t>
        </is>
      </c>
      <c r="E5" s="3" t="inlineStr">
        <is>
          <t>Upstream</t>
        </is>
      </c>
      <c r="F5" s="3" t="inlineStr">
        <is>
          <t>State</t>
        </is>
      </c>
      <c r="G5" s="3" t="inlineStr">
        <is>
          <t>Admissibility</t>
        </is>
      </c>
      <c r="H5" s="3" t="inlineStr">
        <is>
          <t>Notes</t>
        </is>
      </c>
    </row>
    <row r="6">
      <c r="A6" s="4" t="inlineStr">
        <is>
          <t>R0</t>
        </is>
      </c>
      <c r="B6" s="4" t="inlineStr">
        <is>
          <t>D</t>
        </is>
      </c>
      <c r="C6" s="4" t="inlineStr">
        <is>
          <t>Distinction</t>
        </is>
      </c>
      <c r="D6" s="4" t="inlineStr">
        <is>
          <t>Primitive</t>
        </is>
      </c>
      <c r="E6" s="4" t="inlineStr">
        <is>
          <t>Γ</t>
        </is>
      </c>
      <c r="F6" s="4" t="inlineStr">
        <is>
          <t>DERIVED</t>
        </is>
      </c>
      <c r="G6" s="4" t="inlineStr">
        <is>
          <t>ADMISSIBLE</t>
        </is>
      </c>
      <c r="H6" s="4" t="inlineStr"/>
    </row>
    <row r="7">
      <c r="A7" s="4" t="inlineStr">
        <is>
          <t>R1</t>
        </is>
      </c>
      <c r="B7" s="4" t="inlineStr">
        <is>
          <t>T</t>
        </is>
      </c>
      <c r="C7" s="4" t="inlineStr">
        <is>
          <t>Transformation</t>
        </is>
      </c>
      <c r="D7" s="4" t="inlineStr">
        <is>
          <t>Primitive</t>
        </is>
      </c>
      <c r="E7" s="4" t="inlineStr">
        <is>
          <t>D</t>
        </is>
      </c>
      <c r="F7" s="4" t="inlineStr">
        <is>
          <t>DERIVED</t>
        </is>
      </c>
      <c r="G7" s="4" t="inlineStr">
        <is>
          <t>ADMISSIBLE</t>
        </is>
      </c>
      <c r="H7" s="4" t="inlineStr"/>
    </row>
    <row r="8">
      <c r="A8" s="4" t="inlineStr">
        <is>
          <t>R2</t>
        </is>
      </c>
      <c r="B8" s="4" t="inlineStr">
        <is>
          <t>C</t>
        </is>
      </c>
      <c r="C8" s="4" t="inlineStr">
        <is>
          <t>Constraint</t>
        </is>
      </c>
      <c r="D8" s="4" t="inlineStr">
        <is>
          <t>Primitive</t>
        </is>
      </c>
      <c r="E8" s="4" t="inlineStr">
        <is>
          <t>D,T</t>
        </is>
      </c>
      <c r="F8" s="4" t="inlineStr">
        <is>
          <t>DERIVED</t>
        </is>
      </c>
      <c r="G8" s="4" t="inlineStr">
        <is>
          <t>ADMISSIBLE</t>
        </is>
      </c>
      <c r="H8" s="4" t="inlineStr"/>
    </row>
    <row r="9">
      <c r="A9" s="4" t="inlineStr">
        <is>
          <t>R4</t>
        </is>
      </c>
      <c r="B9" s="4" t="inlineStr">
        <is>
          <t>G</t>
        </is>
      </c>
      <c r="C9" s="4" t="inlineStr">
        <is>
          <t>Graph / organization</t>
        </is>
      </c>
      <c r="D9" s="4" t="inlineStr">
        <is>
          <t>Relational substrate</t>
        </is>
      </c>
      <c r="E9" s="4" t="inlineStr">
        <is>
          <t>D,T,C</t>
        </is>
      </c>
      <c r="F9" s="4" t="inlineStr">
        <is>
          <t>CALCULATED</t>
        </is>
      </c>
      <c r="G9" s="4" t="inlineStr">
        <is>
          <t>ADMISSIBLE</t>
        </is>
      </c>
      <c r="H9" s="4" t="inlineStr">
        <is>
          <t>ARBS realization</t>
        </is>
      </c>
    </row>
    <row r="10">
      <c r="A10" s="4" t="inlineStr">
        <is>
          <t>R5</t>
        </is>
      </c>
      <c r="B10" s="4" t="inlineStr">
        <is>
          <t>B</t>
        </is>
      </c>
      <c r="C10" s="4" t="inlineStr">
        <is>
          <t>Incidence matrix</t>
        </is>
      </c>
      <c r="D10" s="4" t="inlineStr">
        <is>
          <t>Graph-to-operator bridge</t>
        </is>
      </c>
      <c r="E10" s="4" t="inlineStr">
        <is>
          <t>G</t>
        </is>
      </c>
      <c r="F10" s="4" t="inlineStr">
        <is>
          <t>CALCULATED</t>
        </is>
      </c>
      <c r="G10" s="4" t="inlineStr">
        <is>
          <t>ADMISSIBLE</t>
        </is>
      </c>
      <c r="H10" s="4" t="inlineStr"/>
    </row>
    <row r="11">
      <c r="A11" s="4" t="inlineStr">
        <is>
          <t>R5</t>
        </is>
      </c>
      <c r="B11" s="4" t="inlineStr">
        <is>
          <t>L</t>
        </is>
      </c>
      <c r="C11" s="4" t="inlineStr">
        <is>
          <t>L=B Bᵀ</t>
        </is>
      </c>
      <c r="D11" s="4" t="inlineStr">
        <is>
          <t>Laplacian</t>
        </is>
      </c>
      <c r="E11" s="4" t="inlineStr">
        <is>
          <t>B</t>
        </is>
      </c>
      <c r="F11" s="4" t="inlineStr">
        <is>
          <t>CALCULATED</t>
        </is>
      </c>
      <c r="G11" s="4" t="inlineStr">
        <is>
          <t>ADMISSIBLE</t>
        </is>
      </c>
      <c r="H11" s="4" t="inlineStr"/>
    </row>
    <row r="12">
      <c r="A12" s="4" t="inlineStr">
        <is>
          <t>R6</t>
        </is>
      </c>
      <c r="B12" s="4" t="inlineStr">
        <is>
          <t>D_G</t>
        </is>
      </c>
      <c r="C12" s="4" t="inlineStr">
        <is>
          <t>[[0,B],[Bᵀ,0]]</t>
        </is>
      </c>
      <c r="D12" s="4" t="inlineStr">
        <is>
          <t>Dirac lift</t>
        </is>
      </c>
      <c r="E12" s="4" t="inlineStr">
        <is>
          <t>B</t>
        </is>
      </c>
      <c r="F12" s="4" t="inlineStr">
        <is>
          <t>CALCULATED</t>
        </is>
      </c>
      <c r="G12" s="4" t="inlineStr">
        <is>
          <t>ADMISSIBLE</t>
        </is>
      </c>
      <c r="H12" s="4" t="inlineStr"/>
    </row>
    <row r="13">
      <c r="A13" s="4" t="inlineStr">
        <is>
          <t>R6</t>
        </is>
      </c>
      <c r="B13" s="4" t="inlineStr">
        <is>
          <t>Spec|D_G|</t>
        </is>
      </c>
      <c r="C13" s="4" t="inlineStr">
        <is>
          <t>±σ_j</t>
        </is>
      </c>
      <c r="D13" s="4" t="inlineStr">
        <is>
          <t>Positive/negative spectral pairs</t>
        </is>
      </c>
      <c r="E13" s="4" t="inlineStr">
        <is>
          <t>D_G</t>
        </is>
      </c>
      <c r="F13" s="4" t="inlineStr">
        <is>
          <t>CALCULATED</t>
        </is>
      </c>
      <c r="G13" s="4" t="inlineStr">
        <is>
          <t>ADMISSIBLE</t>
        </is>
      </c>
      <c r="H13" s="4" t="inlineStr"/>
    </row>
    <row r="14">
      <c r="A14" s="4" t="inlineStr">
        <is>
          <t>R6</t>
        </is>
      </c>
      <c r="B14" s="4" t="inlineStr">
        <is>
          <t>G3 boundary</t>
        </is>
      </c>
      <c r="C14" s="4" t="inlineStr">
        <is>
          <t>σ16 &lt; σ17</t>
        </is>
      </c>
      <c r="D14" s="4" t="inlineStr">
        <is>
          <t>Isolated spectral boundary</t>
        </is>
      </c>
      <c r="E14" s="4" t="inlineStr">
        <is>
          <t>Spec|D_G|</t>
        </is>
      </c>
      <c r="F14" s="4" t="inlineStr">
        <is>
          <t>VERIFIED</t>
        </is>
      </c>
      <c r="G14" s="4" t="inlineStr">
        <is>
          <t>ADMISSIBLE</t>
        </is>
      </c>
      <c r="H14" s="4" t="inlineStr">
        <is>
          <t>Independent of selector input 32</t>
        </is>
      </c>
    </row>
    <row r="15">
      <c r="A15" s="4" t="inlineStr">
        <is>
          <t>R6</t>
        </is>
      </c>
      <c r="B15" s="4" t="inlineStr">
        <is>
          <t>G4 boundary</t>
        </is>
      </c>
      <c r="C15" s="4" t="inlineStr">
        <is>
          <t>σ16 = σ17</t>
        </is>
      </c>
      <c r="D15" s="4" t="inlineStr">
        <is>
          <t>Degenerate boundary</t>
        </is>
      </c>
      <c r="E15" s="4" t="inlineStr">
        <is>
          <t>Spec|D_G|</t>
        </is>
      </c>
      <c r="F15" s="4" t="inlineStr">
        <is>
          <t>VERIFIED</t>
        </is>
      </c>
      <c r="G15" s="4" t="inlineStr">
        <is>
          <t>ADMISSIBLE</t>
        </is>
      </c>
      <c r="H15" s="4" t="inlineStr"/>
    </row>
    <row r="16">
      <c r="A16" s="4" t="inlineStr">
        <is>
          <t>R7</t>
        </is>
      </c>
      <c r="B16" s="4" t="inlineStr">
        <is>
          <t>Π</t>
        </is>
      </c>
      <c r="C16" s="4" t="inlineStr">
        <is>
          <t>Persistent spectral sector</t>
        </is>
      </c>
      <c r="D16" s="4" t="inlineStr">
        <is>
          <t>Persistence</t>
        </is>
      </c>
      <c r="E16" s="4" t="inlineStr">
        <is>
          <t>Spec(L)</t>
        </is>
      </c>
      <c r="F16" s="4" t="inlineStr">
        <is>
          <t>CALCULATED</t>
        </is>
      </c>
      <c r="G16" s="4" t="inlineStr">
        <is>
          <t>ADMISSIBLE</t>
        </is>
      </c>
      <c r="H16" s="4" t="inlineStr">
        <is>
          <t>Selector mechanism remains a separate dependency</t>
        </is>
      </c>
    </row>
    <row r="17">
      <c r="A17" s="4" t="inlineStr">
        <is>
          <t>R8</t>
        </is>
      </c>
      <c r="B17" s="4" t="inlineStr">
        <is>
          <t>d</t>
        </is>
      </c>
      <c r="C17" s="4" t="inlineStr">
        <is>
          <t>Spectral distance</t>
        </is>
      </c>
      <c r="D17" s="4" t="inlineStr">
        <is>
          <t>Geometry</t>
        </is>
      </c>
      <c r="E17" s="4" t="inlineStr">
        <is>
          <t>Π</t>
        </is>
      </c>
      <c r="F17" s="4" t="inlineStr">
        <is>
          <t>CALCULATED</t>
        </is>
      </c>
      <c r="G17" s="4" t="inlineStr">
        <is>
          <t>ADMISSIBLE</t>
        </is>
      </c>
      <c r="H17" s="4" t="inlineStr"/>
    </row>
    <row r="18">
      <c r="A18" s="4" t="inlineStr">
        <is>
          <t>R9</t>
        </is>
      </c>
      <c r="B18" s="4" t="inlineStr">
        <is>
          <t>g_μν</t>
        </is>
      </c>
      <c r="C18" s="4" t="inlineStr">
        <is>
          <t>Metric representation</t>
        </is>
      </c>
      <c r="D18" s="4" t="inlineStr">
        <is>
          <t>Continuum</t>
        </is>
      </c>
      <c r="E18" s="4" t="inlineStr">
        <is>
          <t>d</t>
        </is>
      </c>
      <c r="F18" s="4" t="inlineStr">
        <is>
          <t>CALCULATED</t>
        </is>
      </c>
      <c r="G18" s="4" t="inlineStr">
        <is>
          <t>ADMISSIBLE</t>
        </is>
      </c>
      <c r="H18" s="4" t="inlineStr"/>
    </row>
    <row r="19">
      <c r="A19" s="4" t="inlineStr">
        <is>
          <t>R9</t>
        </is>
      </c>
      <c r="B19" s="4" t="inlineStr">
        <is>
          <t>R_μν</t>
        </is>
      </c>
      <c r="C19" s="4" t="inlineStr">
        <is>
          <t>Curvature</t>
        </is>
      </c>
      <c r="D19" s="4" t="inlineStr">
        <is>
          <t>Continuum</t>
        </is>
      </c>
      <c r="E19" s="4" t="inlineStr">
        <is>
          <t>g_μν</t>
        </is>
      </c>
      <c r="F19" s="4" t="inlineStr">
        <is>
          <t>CALCULATED</t>
        </is>
      </c>
      <c r="G19" s="4" t="inlineStr">
        <is>
          <t>ADMISSIBLE</t>
        </is>
      </c>
      <c r="H19" s="4" t="inlineStr"/>
    </row>
    <row r="20">
      <c r="A20" s="4" t="inlineStr">
        <is>
          <t>R10</t>
        </is>
      </c>
      <c r="B20" s="4" t="inlineStr">
        <is>
          <t>G_μν</t>
        </is>
      </c>
      <c r="C20" s="4" t="inlineStr">
        <is>
          <t>Einstein tensor</t>
        </is>
      </c>
      <c r="D20" s="4" t="inlineStr">
        <is>
          <t>Field representation</t>
        </is>
      </c>
      <c r="E20" s="4" t="inlineStr">
        <is>
          <t>R_μν</t>
        </is>
      </c>
      <c r="F20" s="4" t="inlineStr">
        <is>
          <t>CALCULATED</t>
        </is>
      </c>
      <c r="G20" s="4" t="inlineStr">
        <is>
          <t>ADMISSIBLE</t>
        </is>
      </c>
      <c r="H20"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tabColor rgb="002B7A78"/>
    <outlinePr summaryBelow="1" summaryRight="1"/>
    <pageSetUpPr fitToPage="1"/>
  </sheetPr>
  <dimension ref="A1:H14"/>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28" customWidth="1" min="2" max="2"/>
    <col width="44" customWidth="1" min="3" max="3"/>
    <col width="44" customWidth="1" min="4" max="4"/>
    <col width="44" customWidth="1" min="5" max="5"/>
    <col width="30" customWidth="1" min="6" max="6"/>
    <col width="24" customWidth="1" min="7" max="7"/>
    <col width="44" customWidth="1" min="8" max="8"/>
  </cols>
  <sheetData>
    <row r="1" ht="32" customHeight="1">
      <c r="A1" s="1" t="inlineStr">
        <is>
          <t>TRANSLATION REGISTRY</t>
        </is>
      </c>
    </row>
    <row r="2" ht="34" customHeight="1">
      <c r="A2" s="2" t="inlineStr">
        <is>
          <t>Bidirectional mappings between domain representations and the universal Rosetta grammar.</t>
        </is>
      </c>
    </row>
    <row r="5" ht="28" customHeight="1">
      <c r="A5" s="3" t="inlineStr">
        <is>
          <t>Translation ID</t>
        </is>
      </c>
      <c r="B5" s="3" t="inlineStr">
        <is>
          <t>Domain</t>
        </is>
      </c>
      <c r="C5" s="3" t="inlineStr">
        <is>
          <t>Domain object</t>
        </is>
      </c>
      <c r="D5" s="3" t="inlineStr">
        <is>
          <t>Rosetta object</t>
        </is>
      </c>
      <c r="E5" s="3" t="inlineStr">
        <is>
          <t>Forward mapping</t>
        </is>
      </c>
      <c r="F5" s="3" t="inlineStr">
        <is>
          <t>Reverse mapping</t>
        </is>
      </c>
      <c r="G5" s="3" t="inlineStr">
        <is>
          <t>Status</t>
        </is>
      </c>
      <c r="H5" s="3" t="inlineStr">
        <is>
          <t>Invariant preserved</t>
        </is>
      </c>
    </row>
    <row r="6">
      <c r="A6" s="4" t="inlineStr">
        <is>
          <t>TR-001</t>
        </is>
      </c>
      <c r="B6" s="4" t="inlineStr">
        <is>
          <t>Generic</t>
        </is>
      </c>
      <c r="C6" s="4" t="inlineStr">
        <is>
          <t>Domain state/configuration</t>
        </is>
      </c>
      <c r="D6" s="4" t="inlineStr">
        <is>
          <t>X</t>
        </is>
      </c>
      <c r="E6" s="4" t="inlineStr">
        <is>
          <t>Canonicalize → X</t>
        </is>
      </c>
      <c r="F6" s="4" t="inlineStr">
        <is>
          <t>Reconstruct domain state</t>
        </is>
      </c>
      <c r="G6" s="4" t="inlineStr">
        <is>
          <t>ACTIVE</t>
        </is>
      </c>
      <c r="H6" s="4" t="inlineStr">
        <is>
          <t>State identity</t>
        </is>
      </c>
    </row>
    <row r="7">
      <c r="A7" s="4" t="inlineStr">
        <is>
          <t>TR-002</t>
        </is>
      </c>
      <c r="B7" s="4" t="inlineStr">
        <is>
          <t>Generic</t>
        </is>
      </c>
      <c r="C7" s="4" t="inlineStr">
        <is>
          <t>Domain transition</t>
        </is>
      </c>
      <c r="D7" s="4" t="inlineStr">
        <is>
          <t>T</t>
        </is>
      </c>
      <c r="E7" s="4" t="inlineStr">
        <is>
          <t>Extract transformation operator</t>
        </is>
      </c>
      <c r="F7" s="4" t="inlineStr">
        <is>
          <t>Instantiate domain transition</t>
        </is>
      </c>
      <c r="G7" s="4" t="inlineStr">
        <is>
          <t>ACTIVE</t>
        </is>
      </c>
      <c r="H7" s="4" t="inlineStr">
        <is>
          <t>Transition structure</t>
        </is>
      </c>
    </row>
    <row r="8">
      <c r="A8" s="4" t="inlineStr">
        <is>
          <t>TR-003</t>
        </is>
      </c>
      <c r="B8" s="4" t="inlineStr">
        <is>
          <t>Generic</t>
        </is>
      </c>
      <c r="C8" s="4" t="inlineStr">
        <is>
          <t>Domain restriction/rule</t>
        </is>
      </c>
      <c r="D8" s="4" t="inlineStr">
        <is>
          <t>C</t>
        </is>
      </c>
      <c r="E8" s="4" t="inlineStr">
        <is>
          <t>Extract constraint</t>
        </is>
      </c>
      <c r="F8" s="4" t="inlineStr">
        <is>
          <t>Reconstruct admissibility rule</t>
        </is>
      </c>
      <c r="G8" s="4" t="inlineStr">
        <is>
          <t>ACTIVE</t>
        </is>
      </c>
      <c r="H8" s="4" t="inlineStr">
        <is>
          <t>Admissible set</t>
        </is>
      </c>
    </row>
    <row r="9">
      <c r="A9" s="4" t="inlineStr">
        <is>
          <t>TR-004</t>
        </is>
      </c>
      <c r="B9" s="4" t="inlineStr">
        <is>
          <t>Physics</t>
        </is>
      </c>
      <c r="C9" s="4" t="inlineStr">
        <is>
          <t>Graph/relational substrate</t>
        </is>
      </c>
      <c r="D9" s="4" t="inlineStr">
        <is>
          <t>G</t>
        </is>
      </c>
      <c r="E9" s="4" t="inlineStr">
        <is>
          <t>ARBS graph encoding</t>
        </is>
      </c>
      <c r="F9" s="4" t="inlineStr">
        <is>
          <t>Domain graph reconstruction</t>
        </is>
      </c>
      <c r="G9" s="4" t="inlineStr">
        <is>
          <t>ACTIVE</t>
        </is>
      </c>
      <c r="H9" s="4" t="inlineStr">
        <is>
          <t>Adjacency/relations</t>
        </is>
      </c>
    </row>
    <row r="10">
      <c r="A10" s="4" t="inlineStr">
        <is>
          <t>TR-005</t>
        </is>
      </c>
      <c r="B10" s="4" t="inlineStr">
        <is>
          <t>Physics</t>
        </is>
      </c>
      <c r="C10" s="4" t="inlineStr">
        <is>
          <t>Laplacian</t>
        </is>
      </c>
      <c r="D10" s="4" t="inlineStr">
        <is>
          <t>L</t>
        </is>
      </c>
      <c r="E10" s="4" t="inlineStr">
        <is>
          <t>L=B Bᵀ</t>
        </is>
      </c>
      <c r="F10" s="4" t="inlineStr">
        <is>
          <t>Reconstruct operator</t>
        </is>
      </c>
      <c r="G10" s="4" t="inlineStr">
        <is>
          <t>ACTIVE</t>
        </is>
      </c>
      <c r="H10" s="4" t="inlineStr">
        <is>
          <t>Spectrum</t>
        </is>
      </c>
    </row>
    <row r="11">
      <c r="A11" s="4" t="inlineStr">
        <is>
          <t>TR-006</t>
        </is>
      </c>
      <c r="B11" s="4" t="inlineStr">
        <is>
          <t>Physics</t>
        </is>
      </c>
      <c r="C11" s="4" t="inlineStr">
        <is>
          <t>Dirac realization</t>
        </is>
      </c>
      <c r="D11" s="4" t="inlineStr">
        <is>
          <t>D_G</t>
        </is>
      </c>
      <c r="E11" s="4" t="inlineStr">
        <is>
          <t>Incidence lift</t>
        </is>
      </c>
      <c r="F11" s="4" t="inlineStr">
        <is>
          <t>Recover incidence representation</t>
        </is>
      </c>
      <c r="G11" s="4" t="inlineStr">
        <is>
          <t>ACTIVE</t>
        </is>
      </c>
      <c r="H11" s="4" t="inlineStr">
        <is>
          <t>± spectral pairing</t>
        </is>
      </c>
    </row>
    <row r="12">
      <c r="A12" s="4" t="inlineStr">
        <is>
          <t>TR-007</t>
        </is>
      </c>
      <c r="B12" s="4" t="inlineStr">
        <is>
          <t>Physics</t>
        </is>
      </c>
      <c r="C12" s="4" t="inlineStr">
        <is>
          <t>Spectral modes</t>
        </is>
      </c>
      <c r="D12" s="4" t="inlineStr">
        <is>
          <t>Spec|D_G|</t>
        </is>
      </c>
      <c r="E12" s="4" t="inlineStr">
        <is>
          <t>Eigen/singular decomposition</t>
        </is>
      </c>
      <c r="F12" s="4" t="inlineStr">
        <is>
          <t>Reconstruct operator up to representation</t>
        </is>
      </c>
      <c r="G12" s="4" t="inlineStr">
        <is>
          <t>ACTIVE</t>
        </is>
      </c>
      <c r="H12" s="4" t="inlineStr">
        <is>
          <t>Spectrum/degeneracy</t>
        </is>
      </c>
    </row>
    <row r="13">
      <c r="A13" s="4" t="inlineStr">
        <is>
          <t>TR-008</t>
        </is>
      </c>
      <c r="B13" s="4" t="inlineStr">
        <is>
          <t>Generic</t>
        </is>
      </c>
      <c r="C13" s="4" t="inlineStr">
        <is>
          <t>Persistent sector</t>
        </is>
      </c>
      <c r="D13" s="4" t="inlineStr">
        <is>
          <t>Π</t>
        </is>
      </c>
      <c r="E13" s="4" t="inlineStr">
        <is>
          <t>Spectral selection</t>
        </is>
      </c>
      <c r="F13" s="4" t="inlineStr">
        <is>
          <t>Reconstruct persistent subspace</t>
        </is>
      </c>
      <c r="G13" s="4" t="inlineStr">
        <is>
          <t>ACTIVE</t>
        </is>
      </c>
      <c r="H13" s="4" t="inlineStr">
        <is>
          <t>Persistence criterion</t>
        </is>
      </c>
    </row>
    <row r="14">
      <c r="A14" s="4" t="inlineStr">
        <is>
          <t>TR-009</t>
        </is>
      </c>
      <c r="B14" s="4" t="inlineStr">
        <is>
          <t>Generic</t>
        </is>
      </c>
      <c r="C14" s="4" t="inlineStr">
        <is>
          <t>Domain observables</t>
        </is>
      </c>
      <c r="D14" s="4" t="inlineStr">
        <is>
          <t>O_α</t>
        </is>
      </c>
      <c r="E14" s="4" t="inlineStr">
        <is>
          <t>Representation → observable map</t>
        </is>
      </c>
      <c r="F14" s="4" t="inlineStr">
        <is>
          <t>Observable → canonicalization</t>
        </is>
      </c>
      <c r="G14" s="4" t="inlineStr">
        <is>
          <t>ACTIVE</t>
        </is>
      </c>
      <c r="H14" s="4" t="inlineStr">
        <is>
          <t>Declared invariants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tabColor rgb="00C89B3C"/>
    <outlinePr summaryBelow="1" summaryRight="1"/>
    <pageSetUpPr fitToPage="1"/>
  </sheetPr>
  <dimension ref="A1:G15"/>
  <sheetViews>
    <sheetView showGridLines="0" zoomScale="90" workbookViewId="0">
      <pane ySplit="5" topLeftCell="A6" activePane="bottomLeft" state="frozen"/>
      <selection pane="bottomLeft" activeCell="A1" sqref="A1"/>
    </sheetView>
  </sheetViews>
  <sheetFormatPr baseColWidth="8" defaultRowHeight="15"/>
  <cols>
    <col width="24" customWidth="1" min="1" max="1"/>
    <col width="30" customWidth="1" min="2" max="2"/>
    <col width="48" customWidth="1" min="3" max="3"/>
    <col width="34" customWidth="1" min="4" max="4"/>
    <col width="34" customWidth="1" min="5" max="5"/>
    <col width="28" customWidth="1" min="6" max="6"/>
    <col width="42" customWidth="1" min="7" max="7"/>
  </cols>
  <sheetData>
    <row r="1" ht="32" customHeight="1">
      <c r="A1" s="1" t="inlineStr">
        <is>
          <t>ADMISSIBILITY &amp; LEAKAGE CONTROL</t>
        </is>
      </c>
    </row>
    <row r="2" ht="34" customHeight="1">
      <c r="A2" s="2" t="inlineStr">
        <is>
          <t>Active-state filter preventing rejected, target-conditioned, or unresolved material from entering canonical calculations.</t>
        </is>
      </c>
    </row>
    <row r="5" ht="28" customHeight="1">
      <c r="A5" s="3" t="inlineStr">
        <is>
          <t>Status</t>
        </is>
      </c>
      <c r="B5" s="3" t="inlineStr">
        <is>
          <t>Active?</t>
        </is>
      </c>
      <c r="C5" s="3" t="inlineStr">
        <is>
          <t>Definition</t>
        </is>
      </c>
      <c r="D5" s="3" t="inlineStr">
        <is>
          <t>Propagation rule</t>
        </is>
      </c>
      <c r="E5" s="3" t="inlineStr">
        <is>
          <t>Example</t>
        </is>
      </c>
      <c r="F5" s="3" t="inlineStr">
        <is>
          <t>Audit action</t>
        </is>
      </c>
      <c r="G5" s="3" t="inlineStr">
        <is>
          <t>Canonical use</t>
        </is>
      </c>
    </row>
    <row r="6">
      <c r="A6" s="4" t="inlineStr">
        <is>
          <t>DERIVED</t>
        </is>
      </c>
      <c r="B6" s="4" t="inlineStr">
        <is>
          <t>YES</t>
        </is>
      </c>
      <c r="C6" s="4" t="inlineStr">
        <is>
          <t>Mathematically derived from admitted dependencies.</t>
        </is>
      </c>
      <c r="D6" s="4" t="inlineStr">
        <is>
          <t>May propagate downstream.</t>
        </is>
      </c>
      <c r="E6" s="4" t="inlineStr">
        <is>
          <t>Derived equation.</t>
        </is>
      </c>
      <c r="F6" s="4" t="inlineStr">
        <is>
          <t>Retain and cite dependencies.</t>
        </is>
      </c>
      <c r="G6" s="4" t="inlineStr">
        <is>
          <t>YES</t>
        </is>
      </c>
    </row>
    <row r="7">
      <c r="A7" s="4" t="inlineStr">
        <is>
          <t>VERIFIED</t>
        </is>
      </c>
      <c r="B7" s="4" t="inlineStr">
        <is>
          <t>YES</t>
        </is>
      </c>
      <c r="C7" s="4" t="inlineStr">
        <is>
          <t>Independently cross-checked against an admitted source/calculation.</t>
        </is>
      </c>
      <c r="D7" s="4" t="inlineStr">
        <is>
          <t>May propagate downstream.</t>
        </is>
      </c>
      <c r="E7" s="4" t="inlineStr">
        <is>
          <t>ARBS spectral checkpoint.</t>
        </is>
      </c>
      <c r="F7" s="4" t="inlineStr">
        <is>
          <t>Retain checkpoint and tolerance.</t>
        </is>
      </c>
      <c r="G7" s="4" t="inlineStr">
        <is>
          <t>YES</t>
        </is>
      </c>
    </row>
    <row r="8">
      <c r="A8" s="4" t="inlineStr">
        <is>
          <t>CALCULATED</t>
        </is>
      </c>
      <c r="B8" s="4" t="inlineStr">
        <is>
          <t>YES</t>
        </is>
      </c>
      <c r="C8" s="4" t="inlineStr">
        <is>
          <t>Numerically calculated from admitted inputs.</t>
        </is>
      </c>
      <c r="D8" s="4" t="inlineStr">
        <is>
          <t>May propagate with numerical provenance.</t>
        </is>
      </c>
      <c r="E8" s="4" t="inlineStr">
        <is>
          <t>Full shell spectrum.</t>
        </is>
      </c>
      <c r="F8" s="4" t="inlineStr">
        <is>
          <t>Retain artifact and tolerance.</t>
        </is>
      </c>
      <c r="G8" s="4" t="inlineStr">
        <is>
          <t>YES</t>
        </is>
      </c>
    </row>
    <row r="9">
      <c r="A9" s="4" t="inlineStr">
        <is>
          <t>CONDITIONAL</t>
        </is>
      </c>
      <c r="B9" s="4" t="inlineStr">
        <is>
          <t>NO</t>
        </is>
      </c>
      <c r="C9" s="4" t="inlineStr">
        <is>
          <t>Depends on an unresolved prerequisite.</t>
        </is>
      </c>
      <c r="D9" s="4" t="inlineStr">
        <is>
          <t>Do not propagate.</t>
        </is>
      </c>
      <c r="E9" s="4" t="inlineStr">
        <is>
          <t>Pending selector result.</t>
        </is>
      </c>
      <c r="F9" s="4" t="inlineStr">
        <is>
          <t>Keep outside active state.</t>
        </is>
      </c>
      <c r="G9" s="4" t="inlineStr">
        <is>
          <t>NO</t>
        </is>
      </c>
    </row>
    <row r="10">
      <c r="A10" s="4" t="inlineStr">
        <is>
          <t>PROPOSED</t>
        </is>
      </c>
      <c r="B10" s="4" t="inlineStr">
        <is>
          <t>NO</t>
        </is>
      </c>
      <c r="C10" s="4" t="inlineStr">
        <is>
          <t>New candidate not yet admitted.</t>
        </is>
      </c>
      <c r="D10" s="4" t="inlineStr">
        <is>
          <t>Do not propagate.</t>
        </is>
      </c>
      <c r="E10" s="4" t="inlineStr">
        <is>
          <t>Unproved extension.</t>
        </is>
      </c>
      <c r="F10" s="4" t="inlineStr">
        <is>
          <t>Test separately.</t>
        </is>
      </c>
      <c r="G10" s="4" t="inlineStr">
        <is>
          <t>NO</t>
        </is>
      </c>
    </row>
    <row r="11">
      <c r="A11" s="4" t="inlineStr">
        <is>
          <t>OPEN</t>
        </is>
      </c>
      <c r="B11" s="4" t="inlineStr">
        <is>
          <t>NO</t>
        </is>
      </c>
      <c r="C11" s="4" t="inlineStr">
        <is>
          <t>Unresolved theorem/dependency.</t>
        </is>
      </c>
      <c r="D11" s="4" t="inlineStr">
        <is>
          <t>Do not propagate.</t>
        </is>
      </c>
      <c r="E11" s="4" t="inlineStr">
        <is>
          <t>Missing upstream selector.</t>
        </is>
      </c>
      <c r="F11" s="4" t="inlineStr">
        <is>
          <t>Create next dependency target.</t>
        </is>
      </c>
      <c r="G11" s="4" t="inlineStr">
        <is>
          <t>NO</t>
        </is>
      </c>
    </row>
    <row r="12">
      <c r="A12" s="4" t="inlineStr">
        <is>
          <t>REJECTED</t>
        </is>
      </c>
      <c r="B12" s="4" t="inlineStr">
        <is>
          <t>NO</t>
        </is>
      </c>
      <c r="C12" s="4" t="inlineStr">
        <is>
          <t>Fails admissibility or source support.</t>
        </is>
      </c>
      <c r="D12" s="4" t="inlineStr">
        <is>
          <t>Do not propagate.</t>
        </is>
      </c>
      <c r="E12" s="4" t="inlineStr">
        <is>
          <t>Unsupported threshold identification.</t>
        </is>
      </c>
      <c r="F12" s="4" t="inlineStr">
        <is>
          <t>Remove from active state.</t>
        </is>
      </c>
      <c r="G12" s="4" t="inlineStr">
        <is>
          <t>NO</t>
        </is>
      </c>
    </row>
    <row r="13">
      <c r="A13" s="4" t="inlineStr">
        <is>
          <t>FALSIFIED</t>
        </is>
      </c>
      <c r="B13" s="4" t="inlineStr">
        <is>
          <t>NO</t>
        </is>
      </c>
      <c r="C13" s="4" t="inlineStr">
        <is>
          <t>Contradicted by calculation or theorem.</t>
        </is>
      </c>
      <c r="D13" s="4" t="inlineStr">
        <is>
          <t>Do not propagate.</t>
        </is>
      </c>
      <c r="E13" s="4" t="inlineStr">
        <is>
          <t>Canonical threshold producing empty horizon.</t>
        </is>
      </c>
      <c r="F13" s="4" t="inlineStr">
        <is>
          <t>Archive only.</t>
        </is>
      </c>
      <c r="G13" s="4" t="inlineStr">
        <is>
          <t>NO</t>
        </is>
      </c>
    </row>
    <row r="14">
      <c r="A14" s="4" t="inlineStr">
        <is>
          <t>TARGET-CONDITIONED</t>
        </is>
      </c>
      <c r="B14" s="4" t="inlineStr">
        <is>
          <t>NO</t>
        </is>
      </c>
      <c r="C14" s="4" t="inlineStr">
        <is>
          <t>Uses downstream target to choose upstream object.</t>
        </is>
      </c>
      <c r="D14" s="4" t="inlineStr">
        <is>
          <t>Do not propagate.</t>
        </is>
      </c>
      <c r="E14" s="4" t="inlineStr">
        <is>
          <t>Selecting cutoff from 32-state boundary.</t>
        </is>
      </c>
      <c r="F14" s="4" t="inlineStr">
        <is>
          <t>Reject selector.</t>
        </is>
      </c>
      <c r="G14" s="4" t="inlineStr">
        <is>
          <t>NO</t>
        </is>
      </c>
    </row>
    <row r="15">
      <c r="A15" s="4" t="inlineStr">
        <is>
          <t>SUPERSEDED</t>
        </is>
      </c>
      <c r="B15" s="4" t="inlineStr">
        <is>
          <t>NO</t>
        </is>
      </c>
      <c r="C15" s="4" t="inlineStr">
        <is>
          <t>Replaced by a later canonical result.</t>
        </is>
      </c>
      <c r="D15" s="4" t="inlineStr">
        <is>
          <t>Do not propagate.</t>
        </is>
      </c>
      <c r="E15" s="4" t="inlineStr">
        <is>
          <t>Obsolete formulation.</t>
        </is>
      </c>
      <c r="F15" s="4" t="inlineStr">
        <is>
          <t>Retain history only if needed.</t>
        </is>
      </c>
      <c r="G15" s="4" t="inlineStr">
        <is>
          <t>NO</t>
        </is>
      </c>
    </row>
  </sheetData>
  <mergeCells count="2">
    <mergeCell ref="A2:G2"/>
    <mergeCell ref="A1:G1"/>
  </mergeCells>
  <conditionalFormatting sqref="B6:B15">
    <cfRule type="cellIs" priority="1" operator="equal" dxfId="0">
      <formula>"YES"</formula>
    </cfRule>
  </conditionalFormatting>
  <pageMargins left="0.75" right="0.75" top="1" bottom="1" header="0.5" footer="0.5"/>
  <pageSetup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tabColor rgb="002F5D8C"/>
    <outlinePr summaryBelow="1" summaryRight="1"/>
    <pageSetUpPr fitToPage="1"/>
  </sheetPr>
  <dimension ref="A1:I12"/>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42" customWidth="1" min="2" max="2"/>
    <col width="44" customWidth="1" min="3" max="3"/>
    <col width="38" customWidth="1" min="4" max="4"/>
    <col width="42" customWidth="1" min="5" max="5"/>
    <col width="26" customWidth="1" min="6" max="6"/>
    <col width="26" customWidth="1" min="7" max="7"/>
    <col width="26" customWidth="1" min="8" max="8"/>
    <col width="48" customWidth="1" min="9" max="9"/>
  </cols>
  <sheetData>
    <row r="1" ht="32" customHeight="1">
      <c r="A1" s="1" t="inlineStr">
        <is>
          <t>RESEARCH LEDGER</t>
        </is>
      </c>
    </row>
    <row r="2" ht="34" customHeight="1">
      <c r="A2" s="2" t="inlineStr">
        <is>
          <t>Active theorem and calculation registry. Only admissible items are listed as active.</t>
        </is>
      </c>
    </row>
    <row r="5" ht="28" customHeight="1">
      <c r="A5" s="3" t="inlineStr">
        <is>
          <t>ID</t>
        </is>
      </c>
      <c r="B5" s="3" t="inlineStr">
        <is>
          <t>Object / theorem</t>
        </is>
      </c>
      <c r="C5" s="3" t="inlineStr">
        <is>
          <t>Formal statement</t>
        </is>
      </c>
      <c r="D5" s="3" t="inlineStr">
        <is>
          <t>Dependencies</t>
        </is>
      </c>
      <c r="E5" s="3" t="inlineStr">
        <is>
          <t>Status</t>
        </is>
      </c>
      <c r="F5" s="3" t="inlineStr">
        <is>
          <t>Admissibility</t>
        </is>
      </c>
      <c r="G5" s="3" t="inlineStr">
        <is>
          <t>Next action</t>
        </is>
      </c>
      <c r="H5" s="3" t="inlineStr">
        <is>
          <t>Evidence</t>
        </is>
      </c>
      <c r="I5" s="3" t="inlineStr">
        <is>
          <t>Notes</t>
        </is>
      </c>
    </row>
    <row r="6">
      <c r="A6" s="4" t="inlineStr">
        <is>
          <t>URS-001</t>
        </is>
      </c>
      <c r="B6" s="4" t="inlineStr">
        <is>
          <t>Universal Rosetta architecture</t>
        </is>
      </c>
      <c r="C6" s="4" t="inlineStr">
        <is>
          <t>URS=(Γ,P,O,I,D,M,T)</t>
        </is>
      </c>
      <c r="D6" s="4" t="inlineStr">
        <is>
          <t>Grammar + registries + dependency relation</t>
        </is>
      </c>
      <c r="E6" s="4" t="inlineStr">
        <is>
          <t>DERIVED</t>
        </is>
      </c>
      <c r="F6" s="4" t="inlineStr">
        <is>
          <t>ADMISSIBLE</t>
        </is>
      </c>
      <c r="G6" s="4" t="inlineStr">
        <is>
          <t>Formalize type system</t>
        </is>
      </c>
      <c r="H6" s="4" t="inlineStr">
        <is>
          <t>Master architecture</t>
        </is>
      </c>
      <c r="I6" s="4" t="inlineStr">
        <is>
          <t>Top-level framework</t>
        </is>
      </c>
    </row>
    <row r="7">
      <c r="A7" s="4" t="inlineStr">
        <is>
          <t>URS-002</t>
        </is>
      </c>
      <c r="B7" s="4" t="inlineStr">
        <is>
          <t>Universal grammar</t>
        </is>
      </c>
      <c r="C7" s="4" t="inlineStr">
        <is>
          <t>Γ=D∘T∘C</t>
        </is>
      </c>
      <c r="D7" s="4" t="inlineStr">
        <is>
          <t>D,T,C</t>
        </is>
      </c>
      <c r="E7" s="4" t="inlineStr">
        <is>
          <t>DERIVED</t>
        </is>
      </c>
      <c r="F7" s="4" t="inlineStr">
        <is>
          <t>ADMISSIBLE</t>
        </is>
      </c>
      <c r="G7" s="4" t="inlineStr">
        <is>
          <t>Extend compiler tests</t>
        </is>
      </c>
      <c r="H7" s="4" t="inlineStr">
        <is>
          <t>Grammar registry</t>
        </is>
      </c>
      <c r="I7" s="4" t="inlineStr"/>
    </row>
    <row r="8">
      <c r="A8" s="4" t="inlineStr">
        <is>
          <t>URS-003</t>
        </is>
      </c>
      <c r="B8" s="4" t="inlineStr">
        <is>
          <t>Dependency preservation</t>
        </is>
      </c>
      <c r="C8" s="4" t="inlineStr">
        <is>
          <t>A≺B ⇒ B cannot select A</t>
        </is>
      </c>
      <c r="D8" s="4" t="inlineStr">
        <is>
          <t>MDCL</t>
        </is>
      </c>
      <c r="E8" s="4" t="inlineStr">
        <is>
          <t>DERIVED</t>
        </is>
      </c>
      <c r="F8" s="4" t="inlineStr">
        <is>
          <t>ADMISSIBLE</t>
        </is>
      </c>
      <c r="G8" s="4" t="inlineStr">
        <is>
          <t>Apply to all domain compilers</t>
        </is>
      </c>
      <c r="H8" s="4" t="inlineStr">
        <is>
          <t>DAG registry</t>
        </is>
      </c>
      <c r="I8" s="4" t="inlineStr">
        <is>
          <t>Leakage control</t>
        </is>
      </c>
    </row>
    <row r="9">
      <c r="A9" s="4" t="inlineStr">
        <is>
          <t>URS-004</t>
        </is>
      </c>
      <c r="B9" s="4" t="inlineStr">
        <is>
          <t>ARBS spectral realization</t>
        </is>
      </c>
      <c r="C9" s="4" t="inlineStr">
        <is>
          <t>ARBS→G→B→L→D_G→Spec|D_G|</t>
        </is>
      </c>
      <c r="D9" s="4" t="inlineStr">
        <is>
          <t>ARBS construction</t>
        </is>
      </c>
      <c r="E9" s="4" t="inlineStr">
        <is>
          <t>CALCULATED</t>
        </is>
      </c>
      <c r="F9" s="4" t="inlineStr">
        <is>
          <t>ADMISSIBLE</t>
        </is>
      </c>
      <c r="G9" s="4" t="inlineStr">
        <is>
          <t>Expand domain mappings</t>
        </is>
      </c>
      <c r="H9" s="4" t="inlineStr">
        <is>
          <t>Full-spectrum artifact</t>
        </is>
      </c>
      <c r="I9" s="4" t="inlineStr"/>
    </row>
    <row r="10">
      <c r="A10" s="4" t="inlineStr">
        <is>
          <t>URS-005</t>
        </is>
      </c>
      <c r="B10" s="4" t="inlineStr">
        <is>
          <t>G3 spectral boundary</t>
        </is>
      </c>
      <c r="C10" s="4" t="inlineStr">
        <is>
          <t>σ16&lt;σ17 for G3</t>
        </is>
      </c>
      <c r="D10" s="4" t="inlineStr">
        <is>
          <t>G3 spectrum</t>
        </is>
      </c>
      <c r="E10" s="4" t="inlineStr">
        <is>
          <t>VERIFIED</t>
        </is>
      </c>
      <c r="F10" s="4" t="inlineStr">
        <is>
          <t>ADMISSIBLE</t>
        </is>
      </c>
      <c r="G10" s="4" t="inlineStr">
        <is>
          <t>Use as downstream spectral result</t>
        </is>
      </c>
      <c r="H10" s="4" t="inlineStr">
        <is>
          <t>Checkpoint audit</t>
        </is>
      </c>
      <c r="I10" s="4" t="inlineStr">
        <is>
          <t>Not an upstream selector</t>
        </is>
      </c>
    </row>
    <row r="11">
      <c r="A11" s="4" t="inlineStr">
        <is>
          <t>URS-006</t>
        </is>
      </c>
      <c r="B11" s="4" t="inlineStr">
        <is>
          <t>G4 spectral degeneracy</t>
        </is>
      </c>
      <c r="C11" s="4" t="inlineStr">
        <is>
          <t>σ16=σ17 for G4</t>
        </is>
      </c>
      <c r="D11" s="4" t="inlineStr">
        <is>
          <t>G4 spectrum</t>
        </is>
      </c>
      <c r="E11" s="4" t="inlineStr">
        <is>
          <t>VERIFIED</t>
        </is>
      </c>
      <c r="F11" s="4" t="inlineStr">
        <is>
          <t>ADMISSIBLE</t>
        </is>
      </c>
      <c r="G11" s="4" t="inlineStr">
        <is>
          <t>Retain as comparative result</t>
        </is>
      </c>
      <c r="H11" s="4" t="inlineStr">
        <is>
          <t>Checkpoint audit</t>
        </is>
      </c>
      <c r="I11" s="4" t="inlineStr"/>
    </row>
    <row r="12">
      <c r="A12" s="4" t="inlineStr">
        <is>
          <t>URS-007</t>
        </is>
      </c>
      <c r="B12" s="4" t="inlineStr">
        <is>
          <t>Physics Rosetta realization</t>
        </is>
      </c>
      <c r="C12" s="4" t="inlineStr">
        <is>
          <t>Γ→ARBS→spectral geometry→physics</t>
        </is>
      </c>
      <c r="D12" s="4" t="inlineStr">
        <is>
          <t>URS + physics compiler</t>
        </is>
      </c>
      <c r="E12" s="4" t="inlineStr">
        <is>
          <t>DERIVED</t>
        </is>
      </c>
      <c r="F12" s="4" t="inlineStr">
        <is>
          <t>ADMISSIBLE</t>
        </is>
      </c>
      <c r="G12" s="4" t="inlineStr">
        <is>
          <t>Formalize typed translation</t>
        </is>
      </c>
      <c r="H12" s="4" t="inlineStr">
        <is>
          <t>Physics realization</t>
        </is>
      </c>
      <c r="I12" s="4" t="inlineStr"/>
    </row>
  </sheetData>
  <mergeCells count="2">
    <mergeCell ref="A1:I1"/>
    <mergeCell ref="A2:I2"/>
  </mergeCells>
  <pageMargins left="0.75" right="0.75" top="1" bottom="1" header="0.5" footer="0.5"/>
  <pageSetup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tabColor rgb="0017233C"/>
    <outlinePr summaryBelow="1" summaryRight="1"/>
    <pageSetUpPr fitToPage="1"/>
  </sheetPr>
  <dimension ref="A1:H41"/>
  <sheetViews>
    <sheetView showGridLines="0" zoomScale="90" workbookViewId="0">
      <pane ySplit="5" topLeftCell="A6" activePane="bottomLeft" state="frozen"/>
      <selection pane="bottomLeft" activeCell="A1" sqref="A1"/>
    </sheetView>
  </sheetViews>
  <sheetFormatPr baseColWidth="8" defaultRowHeight="15"/>
  <cols>
    <col width="26"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ht="32" customHeight="1">
      <c r="A1" s="1" t="inlineStr">
        <is>
          <t>ROSETTA STONE DASHBOARD</t>
        </is>
      </c>
    </row>
    <row r="2" ht="34" customHeight="1">
      <c r="A2" s="2" t="inlineStr">
        <is>
          <t>At-a-glance view of the active canonical architecture.</t>
        </is>
      </c>
    </row>
    <row r="5" ht="28" customHeight="1">
      <c r="A5" s="3" t="inlineStr">
        <is>
          <t>Metric</t>
        </is>
      </c>
      <c r="B5" s="3" t="inlineStr">
        <is>
          <t>Value</t>
        </is>
      </c>
      <c r="C5" s="3" t="inlineStr">
        <is>
          <t>State</t>
        </is>
      </c>
    </row>
    <row r="6">
      <c r="A6" s="4" t="inlineStr">
        <is>
          <t>Universal grammar</t>
        </is>
      </c>
      <c r="B6" s="4" t="inlineStr">
        <is>
          <t>Γ = D ∘ T ∘ C</t>
        </is>
      </c>
      <c r="C6" s="4" t="inlineStr">
        <is>
          <t>CANONICAL</t>
        </is>
      </c>
    </row>
    <row r="7">
      <c r="A7" s="4" t="inlineStr">
        <is>
          <t>Active architecture layers</t>
        </is>
      </c>
      <c r="B7" s="4" t="n">
        <v>13</v>
      </c>
      <c r="C7" s="4" t="inlineStr">
        <is>
          <t>ACTIVE</t>
        </is>
      </c>
    </row>
    <row r="8">
      <c r="A8" s="4" t="inlineStr">
        <is>
          <t>Active registries</t>
        </is>
      </c>
      <c r="B8" s="4" t="n">
        <v>10</v>
      </c>
      <c r="C8" s="4" t="inlineStr">
        <is>
          <t>ACTIVE</t>
        </is>
      </c>
    </row>
    <row r="9">
      <c r="A9" s="4" t="inlineStr">
        <is>
          <t>Physics realization layers</t>
        </is>
      </c>
      <c r="B9" s="4" t="n">
        <v>15</v>
      </c>
      <c r="C9" s="4" t="inlineStr">
        <is>
          <t>CALCULATED</t>
        </is>
      </c>
    </row>
    <row r="10">
      <c r="A10" s="4" t="inlineStr">
        <is>
          <t>Admissible ledger items</t>
        </is>
      </c>
      <c r="B10" s="4" t="n">
        <v>7</v>
      </c>
      <c r="C10" s="4" t="inlineStr">
        <is>
          <t>ACTIVE</t>
        </is>
      </c>
    </row>
    <row r="11">
      <c r="A11" s="4" t="inlineStr">
        <is>
          <t>Target leakage rule</t>
        </is>
      </c>
      <c r="B11" s="4" t="inlineStr">
        <is>
          <t>ENFORCED</t>
        </is>
      </c>
      <c r="C11" s="4" t="inlineStr">
        <is>
          <t>ACTIVE</t>
        </is>
      </c>
    </row>
    <row r="15">
      <c r="A15" s="5" t="inlineStr">
        <is>
          <t>Rosetta layer coverage</t>
        </is>
      </c>
    </row>
    <row r="17">
      <c r="A17" s="6" t="inlineStr">
        <is>
          <t>Physics</t>
        </is>
      </c>
      <c r="B17" s="6" t="n">
        <v>13</v>
      </c>
    </row>
    <row r="18">
      <c r="A18" s="6" t="inlineStr">
        <is>
          <t>Biology</t>
        </is>
      </c>
      <c r="B18" s="6" t="n">
        <v>13</v>
      </c>
    </row>
    <row r="19">
      <c r="A19" s="6" t="inlineStr">
        <is>
          <t>Chemistry</t>
        </is>
      </c>
      <c r="B19" s="6" t="n">
        <v>13</v>
      </c>
    </row>
    <row r="20">
      <c r="A20" s="6" t="inlineStr">
        <is>
          <t>Ecology</t>
        </is>
      </c>
      <c r="B20" s="6" t="n">
        <v>13</v>
      </c>
    </row>
    <row r="21">
      <c r="A21" s="6" t="inlineStr">
        <is>
          <t>Institutions</t>
        </is>
      </c>
      <c r="B21" s="6" t="n">
        <v>13</v>
      </c>
    </row>
    <row r="24">
      <c r="A24" s="7" t="inlineStr">
        <is>
          <t>MDCL equation inventory</t>
        </is>
      </c>
    </row>
    <row r="25">
      <c r="A25" s="8" t="inlineStr">
        <is>
          <t>Active equation records</t>
        </is>
      </c>
      <c r="B25" t="n">
        <v>69</v>
      </c>
    </row>
    <row r="26">
      <c r="A26" s="8" t="inlineStr">
        <is>
          <t>Master chainlinks</t>
        </is>
      </c>
      <c r="B26" t="n">
        <v>41</v>
      </c>
    </row>
    <row r="27">
      <c r="A27" s="8" t="inlineStr">
        <is>
          <t>Certified recovery chains</t>
        </is>
      </c>
      <c r="B27" t="n">
        <v>12</v>
      </c>
    </row>
    <row r="28">
      <c r="A28" s="8" t="inlineStr">
        <is>
          <t>Rosetta translation layers</t>
        </is>
      </c>
      <c r="B28" t="n">
        <v>13</v>
      </c>
    </row>
    <row r="31">
      <c r="A31" s="7" t="inlineStr">
        <is>
          <t>FULL UNIFICATION MATRIX</t>
        </is>
      </c>
    </row>
    <row r="32">
      <c r="A32" t="inlineStr">
        <is>
          <t>Unified canonical rows</t>
        </is>
      </c>
      <c r="B32" t="n">
        <v>34</v>
      </c>
    </row>
    <row r="33">
      <c r="A33" t="inlineStr">
        <is>
          <t>DTC cross-domain rows</t>
        </is>
      </c>
      <c r="B33" t="n">
        <v>7</v>
      </c>
    </row>
    <row r="34">
      <c r="A34" t="inlineStr">
        <is>
          <t>UMCC hierarchy levels</t>
        </is>
      </c>
      <c r="B34" t="n">
        <v>21</v>
      </c>
    </row>
    <row r="35">
      <c r="A35" t="inlineStr">
        <is>
          <t>MDCL architecture rows</t>
        </is>
      </c>
      <c r="B35" t="n">
        <v>18</v>
      </c>
    </row>
    <row r="36">
      <c r="A36" t="inlineStr">
        <is>
          <t>Recovery branches</t>
        </is>
      </c>
      <c r="B36" t="n">
        <v>10</v>
      </c>
    </row>
    <row r="37">
      <c r="A37" t="inlineStr">
        <is>
          <t>Domain equation rows</t>
        </is>
      </c>
      <c r="B37" t="n">
        <v>10</v>
      </c>
    </row>
    <row r="38">
      <c r="A38" t="inlineStr">
        <is>
          <t>Constant classes</t>
        </is>
      </c>
      <c r="B38" t="n">
        <v>6</v>
      </c>
    </row>
    <row r="39">
      <c r="A39" t="inlineStr">
        <is>
          <t>Historical matrix records</t>
        </is>
      </c>
      <c r="B39" t="n">
        <v>13</v>
      </c>
    </row>
    <row r="40">
      <c r="A40" t="inlineStr">
        <is>
          <t>Unified dependency nodes</t>
        </is>
      </c>
      <c r="B40" t="n">
        <v>24</v>
      </c>
    </row>
    <row r="41">
      <c r="A41" t="inlineStr">
        <is>
          <t>Source matrices indexed</t>
        </is>
      </c>
      <c r="B41" t="n">
        <v>8</v>
      </c>
    </row>
  </sheetData>
  <mergeCells count="2">
    <mergeCell ref="A2:H2"/>
    <mergeCell ref="A1:H1"/>
  </mergeCells>
  <pageMargins left="0.75" right="0.75" top="1" bottom="1" header="0.5" footer="0.5"/>
  <pageSetup fitToHeight="0" fitToWidth="1"/>
  <drawing xmlns:r="http://schemas.openxmlformats.org/officeDocument/2006/relationships" r:id="rId1"/>
</worksheet>
</file>

<file path=xl/worksheets/sheet12.xml><?xml version="1.0" encoding="utf-8"?>
<worksheet xmlns="http://schemas.openxmlformats.org/spreadsheetml/2006/main">
  <sheetPr>
    <tabColor rgb="002F5D8C"/>
    <outlinePr summaryBelow="1" summaryRight="1"/>
    <pageSetUpPr/>
  </sheetPr>
  <dimension ref="A1:I74"/>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2" customWidth="1" min="2" max="2"/>
    <col width="52" customWidth="1" min="3" max="3"/>
    <col width="46" customWidth="1" min="4" max="4"/>
    <col width="34" customWidth="1" min="5" max="5"/>
    <col width="34" customWidth="1" min="6" max="6"/>
    <col width="26" customWidth="1" min="7" max="7"/>
    <col width="30" customWidth="1" min="8" max="8"/>
    <col width="50" customWidth="1" min="9" max="9"/>
  </cols>
  <sheetData>
    <row r="1" ht="32" customHeight="1">
      <c r="A1" s="9" t="inlineStr">
        <is>
          <t>MASTER EQUATION REGISTRY</t>
        </is>
      </c>
    </row>
    <row r="2" ht="34" customHeight="1">
      <c r="A2" s="10" t="inlineStr">
        <is>
          <t>Active canonical equations consolidated from the established MDCL/UOC recovery branches. Non-admissible candidates are excluded.</t>
        </is>
      </c>
    </row>
    <row r="5" ht="28" customHeight="1">
      <c r="A5" s="11" t="inlineStr">
        <is>
          <t>EQ ID</t>
        </is>
      </c>
      <c r="B5" s="11" t="inlineStr">
        <is>
          <t>Layer</t>
        </is>
      </c>
      <c r="C5" s="11" t="inlineStr">
        <is>
          <t>Equation</t>
        </is>
      </c>
      <c r="D5" s="11" t="inlineStr">
        <is>
          <t>Meaning</t>
        </is>
      </c>
      <c r="E5" s="11" t="inlineStr">
        <is>
          <t>Dependencies</t>
        </is>
      </c>
      <c r="F5" s="11" t="inlineStr">
        <is>
          <t>Branch</t>
        </is>
      </c>
      <c r="G5" s="11" t="inlineStr">
        <is>
          <t>Status</t>
        </is>
      </c>
      <c r="H5" s="11" t="inlineStr">
        <is>
          <t>Type</t>
        </is>
      </c>
      <c r="I5" s="11" t="inlineStr">
        <is>
          <t>Notes</t>
        </is>
      </c>
    </row>
    <row r="6">
      <c r="A6" t="inlineStr">
        <is>
          <t>EQ-001</t>
        </is>
      </c>
      <c r="B6" t="inlineStr">
        <is>
          <t>Primitive</t>
        </is>
      </c>
      <c r="C6" t="inlineStr">
        <is>
          <t>Γ = C ∘ T ∘ D</t>
        </is>
      </c>
      <c r="D6" t="inlineStr">
        <is>
          <t>Universal organizational grammar</t>
        </is>
      </c>
      <c r="E6" t="inlineStr">
        <is>
          <t>D,T,C</t>
        </is>
      </c>
      <c r="F6" t="inlineStr">
        <is>
          <t>Foundation</t>
        </is>
      </c>
      <c r="G6" t="inlineStr">
        <is>
          <t>DERIVED</t>
        </is>
      </c>
      <c r="H6" t="inlineStr">
        <is>
          <t>Grammar</t>
        </is>
      </c>
      <c r="I6" t="inlineStr">
        <is>
          <t>Canonical order preserved.</t>
        </is>
      </c>
    </row>
    <row r="7">
      <c r="A7" t="inlineStr">
        <is>
          <t>EQ-002</t>
        </is>
      </c>
      <c r="B7" t="inlineStr">
        <is>
          <t>Primitive</t>
        </is>
      </c>
      <c r="C7" t="inlineStr">
        <is>
          <t>X_{t+1} = C(T(D(X_t)))</t>
        </is>
      </c>
      <c r="D7" t="inlineStr">
        <is>
          <t>Universal organizational recursion</t>
        </is>
      </c>
      <c r="E7" t="inlineStr">
        <is>
          <t>Γ</t>
        </is>
      </c>
      <c r="F7" t="inlineStr">
        <is>
          <t>Foundation</t>
        </is>
      </c>
      <c r="G7" t="inlineStr">
        <is>
          <t>DERIVED</t>
        </is>
      </c>
      <c r="H7" t="inlineStr">
        <is>
          <t>Recursion</t>
        </is>
      </c>
    </row>
    <row r="8">
      <c r="A8" t="inlineStr">
        <is>
          <t>EQ-003</t>
        </is>
      </c>
      <c r="B8" t="inlineStr">
        <is>
          <t>Primitive</t>
        </is>
      </c>
      <c r="C8" t="inlineStr">
        <is>
          <t>X* = Γ[X*]</t>
        </is>
      </c>
      <c r="D8" t="inlineStr">
        <is>
          <t>Organizational fixed-point condition</t>
        </is>
      </c>
      <c r="E8" t="inlineStr">
        <is>
          <t>Γ</t>
        </is>
      </c>
      <c r="F8" t="inlineStr">
        <is>
          <t>Organization</t>
        </is>
      </c>
      <c r="G8" t="inlineStr">
        <is>
          <t>DERIVED</t>
        </is>
      </c>
      <c r="H8" t="inlineStr">
        <is>
          <t>Fixed point</t>
        </is>
      </c>
    </row>
    <row r="9">
      <c r="A9" t="inlineStr">
        <is>
          <t>EQ-004</t>
        </is>
      </c>
      <c r="B9" t="inlineStr">
        <is>
          <t>State</t>
        </is>
      </c>
      <c r="C9" t="inlineStr">
        <is>
          <t>∂_t Ψ = F(Ψ)</t>
        </is>
      </c>
      <c r="D9" t="inlineStr">
        <is>
          <t>Continuous organizational dynamics</t>
        </is>
      </c>
      <c r="E9" t="inlineStr">
        <is>
          <t>Ψ,F</t>
        </is>
      </c>
      <c r="F9" t="inlineStr">
        <is>
          <t>Dynamics</t>
        </is>
      </c>
      <c r="G9" t="inlineStr">
        <is>
          <t>DERIVED</t>
        </is>
      </c>
      <c r="H9" t="inlineStr">
        <is>
          <t>Evolution</t>
        </is>
      </c>
    </row>
    <row r="10">
      <c r="A10" t="inlineStr">
        <is>
          <t>EQ-005</t>
        </is>
      </c>
      <c r="B10" t="inlineStr">
        <is>
          <t>Graph</t>
        </is>
      </c>
      <c r="C10" t="inlineStr">
        <is>
          <t>G = (V,E)</t>
        </is>
      </c>
      <c r="D10" t="inlineStr">
        <is>
          <t>Organizational graph representation</t>
        </is>
      </c>
      <c r="E10" t="inlineStr">
        <is>
          <t>Organization</t>
        </is>
      </c>
      <c r="F10" t="inlineStr">
        <is>
          <t>Graph</t>
        </is>
      </c>
      <c r="G10" t="inlineStr">
        <is>
          <t>DERIVED</t>
        </is>
      </c>
      <c r="H10" t="inlineStr">
        <is>
          <t>Structure</t>
        </is>
      </c>
    </row>
    <row r="11">
      <c r="A11" t="inlineStr">
        <is>
          <t>EQ-006</t>
        </is>
      </c>
      <c r="B11" t="inlineStr">
        <is>
          <t>Graph</t>
        </is>
      </c>
      <c r="C11" t="inlineStr">
        <is>
          <t>L = D - A</t>
        </is>
      </c>
      <c r="D11" t="inlineStr">
        <is>
          <t>Graph Laplacian</t>
        </is>
      </c>
      <c r="E11" t="inlineStr">
        <is>
          <t>G</t>
        </is>
      </c>
      <c r="F11" t="inlineStr">
        <is>
          <t>Spectral</t>
        </is>
      </c>
      <c r="G11" t="inlineStr">
        <is>
          <t>DERIVED</t>
        </is>
      </c>
      <c r="H11" t="inlineStr">
        <is>
          <t>Operator</t>
        </is>
      </c>
      <c r="I11" t="inlineStr">
        <is>
          <t>D here is degree matrix.</t>
        </is>
      </c>
    </row>
    <row r="12">
      <c r="A12" t="inlineStr">
        <is>
          <t>EQ-007</t>
        </is>
      </c>
      <c r="B12" t="inlineStr">
        <is>
          <t>Graph</t>
        </is>
      </c>
      <c r="C12" t="inlineStr">
        <is>
          <t>L = B B^T</t>
        </is>
      </c>
      <c r="D12" t="inlineStr">
        <is>
          <t>Incidence-factorized Laplacian</t>
        </is>
      </c>
      <c r="E12" t="inlineStr">
        <is>
          <t>B</t>
        </is>
      </c>
      <c r="F12" t="inlineStr">
        <is>
          <t>Spectral</t>
        </is>
      </c>
      <c r="G12" t="inlineStr">
        <is>
          <t>CALCULATED</t>
        </is>
      </c>
      <c r="H12" t="inlineStr">
        <is>
          <t>Identity</t>
        </is>
      </c>
      <c r="I12" t="inlineStr">
        <is>
          <t>Used in ARBS realization.</t>
        </is>
      </c>
    </row>
    <row r="13">
      <c r="A13" t="inlineStr">
        <is>
          <t>EQ-008</t>
        </is>
      </c>
      <c r="B13" t="inlineStr">
        <is>
          <t>Dirac</t>
        </is>
      </c>
      <c r="C13" t="inlineStr">
        <is>
          <t>D_G = [[0,B],[B^T,0]]</t>
        </is>
      </c>
      <c r="D13" t="inlineStr">
        <is>
          <t>Bipartite Dirac lift</t>
        </is>
      </c>
      <c r="E13" t="inlineStr">
        <is>
          <t>B</t>
        </is>
      </c>
      <c r="F13" t="inlineStr">
        <is>
          <t>Spectral</t>
        </is>
      </c>
      <c r="G13" t="inlineStr">
        <is>
          <t>CALCULATED</t>
        </is>
      </c>
      <c r="H13" t="inlineStr">
        <is>
          <t>Operator</t>
        </is>
      </c>
    </row>
    <row r="14">
      <c r="A14" t="inlineStr">
        <is>
          <t>EQ-009</t>
        </is>
      </c>
      <c r="B14" t="inlineStr">
        <is>
          <t>Dirac</t>
        </is>
      </c>
      <c r="C14" t="inlineStr">
        <is>
          <t>D_G^2 = diag(BB^T,B^TB)</t>
        </is>
      </c>
      <c r="D14" t="inlineStr">
        <is>
          <t>Dirac-square/Laplacian relation</t>
        </is>
      </c>
      <c r="E14" t="inlineStr">
        <is>
          <t>D_G,B</t>
        </is>
      </c>
      <c r="F14" t="inlineStr">
        <is>
          <t>Spectral</t>
        </is>
      </c>
      <c r="G14" t="inlineStr">
        <is>
          <t>DERIVED</t>
        </is>
      </c>
      <c r="H14" t="inlineStr">
        <is>
          <t>Identity</t>
        </is>
      </c>
    </row>
    <row r="15">
      <c r="A15" t="inlineStr">
        <is>
          <t>EQ-010</t>
        </is>
      </c>
      <c r="B15" t="inlineStr">
        <is>
          <t>Dirac</t>
        </is>
      </c>
      <c r="C15" t="inlineStr">
        <is>
          <t>𝒟^2 = L ⊗ I_spin</t>
        </is>
      </c>
      <c r="D15" t="inlineStr">
        <is>
          <t>Spin-lifted Laplacian relation</t>
        </is>
      </c>
      <c r="E15" t="inlineStr">
        <is>
          <t>L, spin</t>
        </is>
      </c>
      <c r="F15" t="inlineStr">
        <is>
          <t>Physics</t>
        </is>
      </c>
      <c r="G15" t="inlineStr">
        <is>
          <t>DERIVED</t>
        </is>
      </c>
      <c r="H15" t="inlineStr">
        <is>
          <t>Operator</t>
        </is>
      </c>
    </row>
    <row r="16">
      <c r="A16" t="inlineStr">
        <is>
          <t>EQ-011</t>
        </is>
      </c>
      <c r="B16" t="inlineStr">
        <is>
          <t>Spectrum</t>
        </is>
      </c>
      <c r="C16" t="inlineStr">
        <is>
          <t>L φ_i = λ_i φ_i</t>
        </is>
      </c>
      <c r="D16" t="inlineStr">
        <is>
          <t>Laplacian eigenproblem</t>
        </is>
      </c>
      <c r="E16" t="inlineStr">
        <is>
          <t>L</t>
        </is>
      </c>
      <c r="F16" t="inlineStr">
        <is>
          <t>Spectral</t>
        </is>
      </c>
      <c r="G16" t="inlineStr">
        <is>
          <t>DERIVED</t>
        </is>
      </c>
      <c r="H16" t="inlineStr">
        <is>
          <t>Spectral</t>
        </is>
      </c>
    </row>
    <row r="17">
      <c r="A17" t="inlineStr">
        <is>
          <t>EQ-012</t>
        </is>
      </c>
      <c r="B17" t="inlineStr">
        <is>
          <t>Spectrum</t>
        </is>
      </c>
      <c r="C17" t="inlineStr">
        <is>
          <t>Spec(L) = {λ_i}</t>
        </is>
      </c>
      <c r="D17" t="inlineStr">
        <is>
          <t>Organizational spectrum</t>
        </is>
      </c>
      <c r="E17" t="inlineStr">
        <is>
          <t>L</t>
        </is>
      </c>
      <c r="F17" t="inlineStr">
        <is>
          <t>Spectral</t>
        </is>
      </c>
      <c r="G17" t="inlineStr">
        <is>
          <t>CALCULATED</t>
        </is>
      </c>
      <c r="H17" t="inlineStr">
        <is>
          <t>Invariant</t>
        </is>
      </c>
    </row>
    <row r="18">
      <c r="A18" t="inlineStr">
        <is>
          <t>EQ-013</t>
        </is>
      </c>
      <c r="B18" t="inlineStr">
        <is>
          <t>Heat</t>
        </is>
      </c>
      <c r="C18" t="inlineStr">
        <is>
          <t>K_t = e^{-tL}</t>
        </is>
      </c>
      <c r="D18" t="inlineStr">
        <is>
          <t>Heat/organizational semigroup</t>
        </is>
      </c>
      <c r="E18" t="inlineStr">
        <is>
          <t>L</t>
        </is>
      </c>
      <c r="F18" t="inlineStr">
        <is>
          <t>Spectral</t>
        </is>
      </c>
      <c r="G18" t="inlineStr">
        <is>
          <t>DERIVED</t>
        </is>
      </c>
      <c r="H18" t="inlineStr">
        <is>
          <t>Semigroup</t>
        </is>
      </c>
    </row>
    <row r="19">
      <c r="A19" t="inlineStr">
        <is>
          <t>EQ-014</t>
        </is>
      </c>
      <c r="B19" t="inlineStr">
        <is>
          <t>Thermo</t>
        </is>
      </c>
      <c r="C19" t="inlineStr">
        <is>
          <t>Z(β) = Tr(e^{-βL})</t>
        </is>
      </c>
      <c r="D19" t="inlineStr">
        <is>
          <t>Spectral partition function</t>
        </is>
      </c>
      <c r="E19" t="inlineStr">
        <is>
          <t>L,β</t>
        </is>
      </c>
      <c r="F19" t="inlineStr">
        <is>
          <t>Statistical</t>
        </is>
      </c>
      <c r="G19" t="inlineStr">
        <is>
          <t>DERIVED</t>
        </is>
      </c>
      <c r="H19" t="inlineStr">
        <is>
          <t>Partition</t>
        </is>
      </c>
    </row>
    <row r="20">
      <c r="A20" t="inlineStr">
        <is>
          <t>EQ-015</t>
        </is>
      </c>
      <c r="B20" t="inlineStr">
        <is>
          <t>Thermo</t>
        </is>
      </c>
      <c r="C20" t="inlineStr">
        <is>
          <t>F = -k_B T ln Z</t>
        </is>
      </c>
      <c r="D20" t="inlineStr">
        <is>
          <t>Free-energy representation</t>
        </is>
      </c>
      <c r="E20" t="inlineStr">
        <is>
          <t>Z,T</t>
        </is>
      </c>
      <c r="F20" t="inlineStr">
        <is>
          <t>Statistical</t>
        </is>
      </c>
      <c r="G20" t="inlineStr">
        <is>
          <t>DERIVED</t>
        </is>
      </c>
      <c r="H20" t="inlineStr">
        <is>
          <t>Thermodynamic</t>
        </is>
      </c>
    </row>
    <row r="21">
      <c r="A21" t="inlineStr">
        <is>
          <t>EQ-016</t>
        </is>
      </c>
      <c r="B21" t="inlineStr">
        <is>
          <t>Thermo</t>
        </is>
      </c>
      <c r="C21" t="inlineStr">
        <is>
          <t>Tr(L)=Σ_i λ_i = 2|E|</t>
        </is>
      </c>
      <c r="D21" t="inlineStr">
        <is>
          <t>Spectral trace/edge identity</t>
        </is>
      </c>
      <c r="E21" t="inlineStr">
        <is>
          <t>L,G</t>
        </is>
      </c>
      <c r="F21" t="inlineStr">
        <is>
          <t>Spectral</t>
        </is>
      </c>
      <c r="G21" t="inlineStr">
        <is>
          <t>DERIVED</t>
        </is>
      </c>
      <c r="H21" t="inlineStr">
        <is>
          <t>Invariant</t>
        </is>
      </c>
    </row>
    <row r="22">
      <c r="A22" t="inlineStr">
        <is>
          <t>EQ-017</t>
        </is>
      </c>
      <c r="B22" t="inlineStr">
        <is>
          <t>Persistence</t>
        </is>
      </c>
      <c r="C22" t="inlineStr">
        <is>
          <t>Π = span{φ_n : λ_n &lt; λ_c}</t>
        </is>
      </c>
      <c r="D22" t="inlineStr">
        <is>
          <t>Low-spectrum persistence sector</t>
        </is>
      </c>
      <c r="E22" t="inlineStr">
        <is>
          <t>Spec(L),λ_c</t>
        </is>
      </c>
      <c r="F22" t="inlineStr">
        <is>
          <t>Persistence</t>
        </is>
      </c>
      <c r="G22" t="inlineStr">
        <is>
          <t>DERIVED</t>
        </is>
      </c>
      <c r="H22" t="inlineStr">
        <is>
          <t>Projector sector</t>
        </is>
      </c>
    </row>
    <row r="23">
      <c r="A23" t="inlineStr">
        <is>
          <t>EQ-018</t>
        </is>
      </c>
      <c r="B23" t="inlineStr">
        <is>
          <t>Persistence</t>
        </is>
      </c>
      <c r="C23" t="inlineStr">
        <is>
          <t>p_A(t)=Tr(P_+e^{-2tL})/rank(P_+)</t>
        </is>
      </c>
      <c r="D23" t="inlineStr">
        <is>
          <t>Normalized active-support persistence</t>
        </is>
      </c>
      <c r="E23" t="inlineStr">
        <is>
          <t>L,P_+</t>
        </is>
      </c>
      <c r="F23" t="inlineStr">
        <is>
          <t>Persistence</t>
        </is>
      </c>
      <c r="G23" t="inlineStr">
        <is>
          <t>DERIVED</t>
        </is>
      </c>
      <c r="H23" t="inlineStr">
        <is>
          <t>Functional</t>
        </is>
      </c>
    </row>
    <row r="24">
      <c r="A24" t="inlineStr">
        <is>
          <t>EQ-019</t>
        </is>
      </c>
      <c r="B24" t="inlineStr">
        <is>
          <t>Persistence</t>
        </is>
      </c>
      <c r="C24" t="inlineStr">
        <is>
          <t>p_A(t_H)=1/2</t>
        </is>
      </c>
      <c r="D24" t="inlineStr">
        <is>
          <t>Canonical persistence-time condition</t>
        </is>
      </c>
      <c r="E24" t="inlineStr">
        <is>
          <t>p_A</t>
        </is>
      </c>
      <c r="F24" t="inlineStr">
        <is>
          <t>Persistence</t>
        </is>
      </c>
      <c r="G24" t="inlineStr">
        <is>
          <t>DERIVED</t>
        </is>
      </c>
      <c r="H24" t="inlineStr">
        <is>
          <t>Threshold equation</t>
        </is>
      </c>
    </row>
    <row r="25">
      <c r="A25" t="inlineStr">
        <is>
          <t>EQ-020</t>
        </is>
      </c>
      <c r="B25" t="inlineStr">
        <is>
          <t>Geometry</t>
        </is>
      </c>
      <c r="C25" t="inlineStr">
        <is>
          <t>d(i,j) = spectral distance / graph-induced relational distance</t>
        </is>
      </c>
      <c r="D25" t="inlineStr">
        <is>
          <t>Relational distance construction</t>
        </is>
      </c>
      <c r="E25" t="inlineStr">
        <is>
          <t>Π,Spec(L)</t>
        </is>
      </c>
      <c r="F25" t="inlineStr">
        <is>
          <t>Geometry</t>
        </is>
      </c>
      <c r="G25" t="inlineStr">
        <is>
          <t>DERIVED</t>
        </is>
      </c>
      <c r="H25" t="inlineStr">
        <is>
          <t>Metric precursor</t>
        </is>
      </c>
    </row>
    <row r="26">
      <c r="A26" t="inlineStr">
        <is>
          <t>EQ-021</t>
        </is>
      </c>
      <c r="B26" t="inlineStr">
        <is>
          <t>Geometry</t>
        </is>
      </c>
      <c r="C26" t="inlineStr">
        <is>
          <t>g_{μν}</t>
        </is>
      </c>
      <c r="D26" t="inlineStr">
        <is>
          <t>Continuum metric representation</t>
        </is>
      </c>
      <c r="E26" t="inlineStr">
        <is>
          <t>d</t>
        </is>
      </c>
      <c r="F26" t="inlineStr">
        <is>
          <t>Geometry</t>
        </is>
      </c>
      <c r="G26" t="inlineStr">
        <is>
          <t>DERIVED</t>
        </is>
      </c>
      <c r="H26" t="inlineStr">
        <is>
          <t>Representation</t>
        </is>
      </c>
    </row>
    <row r="27">
      <c r="A27" t="inlineStr">
        <is>
          <t>EQ-022</t>
        </is>
      </c>
      <c r="B27" t="inlineStr">
        <is>
          <t>Geometry</t>
        </is>
      </c>
      <c r="C27" t="inlineStr">
        <is>
          <t>Γ^ρ_{μν}=1/2 g^{ρσ}(∂_μg_{νσ}+∂_νg_{μσ}-∂_σg_{μν})</t>
        </is>
      </c>
      <c r="D27" t="inlineStr">
        <is>
          <t>Levi-Civita connection</t>
        </is>
      </c>
      <c r="E27" t="inlineStr">
        <is>
          <t>g</t>
        </is>
      </c>
      <c r="F27" t="inlineStr">
        <is>
          <t>Geometry</t>
        </is>
      </c>
      <c r="G27" t="inlineStr">
        <is>
          <t>DERIVED</t>
        </is>
      </c>
      <c r="H27" t="inlineStr">
        <is>
          <t>Connection</t>
        </is>
      </c>
    </row>
    <row r="28">
      <c r="A28" t="inlineStr">
        <is>
          <t>EQ-023</t>
        </is>
      </c>
      <c r="B28" t="inlineStr">
        <is>
          <t>Geometry</t>
        </is>
      </c>
      <c r="C28" t="inlineStr">
        <is>
          <t>R^ρ_{ σμν}=∂_μΓ^ρ_{νσ}-∂_νΓ^ρ_{μσ}+Γ^ρ_{μλ}Γ^λ_{νσ}-Γ^ρ_{νλ}Γ^λ_{μσ}</t>
        </is>
      </c>
      <c r="D28" t="inlineStr">
        <is>
          <t>Riemann curvature</t>
        </is>
      </c>
      <c r="E28" t="inlineStr">
        <is>
          <t>Γ^ρ_{μν}</t>
        </is>
      </c>
      <c r="F28" t="inlineStr">
        <is>
          <t>Geometry</t>
        </is>
      </c>
      <c r="G28" t="inlineStr">
        <is>
          <t>DERIVED</t>
        </is>
      </c>
      <c r="H28" t="inlineStr">
        <is>
          <t>Curvature</t>
        </is>
      </c>
    </row>
    <row r="29">
      <c r="A29" t="inlineStr">
        <is>
          <t>EQ-024</t>
        </is>
      </c>
      <c r="B29" t="inlineStr">
        <is>
          <t>Geometry</t>
        </is>
      </c>
      <c r="C29" t="inlineStr">
        <is>
          <t>R_{μν}=R^ρ_{ μρν}</t>
        </is>
      </c>
      <c r="D29" t="inlineStr">
        <is>
          <t>Ricci tensor</t>
        </is>
      </c>
      <c r="E29" t="inlineStr">
        <is>
          <t>Riemann</t>
        </is>
      </c>
      <c r="F29" t="inlineStr">
        <is>
          <t>Geometry</t>
        </is>
      </c>
      <c r="G29" t="inlineStr">
        <is>
          <t>DERIVED</t>
        </is>
      </c>
      <c r="H29" t="inlineStr">
        <is>
          <t>Curvature</t>
        </is>
      </c>
    </row>
    <row r="30">
      <c r="A30" t="inlineStr">
        <is>
          <t>EQ-025</t>
        </is>
      </c>
      <c r="B30" t="inlineStr">
        <is>
          <t>Geometry</t>
        </is>
      </c>
      <c r="C30" t="inlineStr">
        <is>
          <t>R=g^{μν}R_{μν}</t>
        </is>
      </c>
      <c r="D30" t="inlineStr">
        <is>
          <t>Scalar curvature</t>
        </is>
      </c>
      <c r="E30" t="inlineStr">
        <is>
          <t>Ricci,g</t>
        </is>
      </c>
      <c r="F30" t="inlineStr">
        <is>
          <t>Geometry</t>
        </is>
      </c>
      <c r="G30" t="inlineStr">
        <is>
          <t>DERIVED</t>
        </is>
      </c>
      <c r="H30" t="inlineStr">
        <is>
          <t>Curvature</t>
        </is>
      </c>
    </row>
    <row r="31">
      <c r="A31" t="inlineStr">
        <is>
          <t>EQ-026</t>
        </is>
      </c>
      <c r="B31" t="inlineStr">
        <is>
          <t>Geometry</t>
        </is>
      </c>
      <c r="C31" t="inlineStr">
        <is>
          <t>G_{μν}=R_{μν}-1/2 Rg_{μν}</t>
        </is>
      </c>
      <c r="D31" t="inlineStr">
        <is>
          <t>Einstein tensor</t>
        </is>
      </c>
      <c r="E31" t="inlineStr">
        <is>
          <t>Ricci,R,g</t>
        </is>
      </c>
      <c r="F31" t="inlineStr">
        <is>
          <t>Physics</t>
        </is>
      </c>
      <c r="G31" t="inlineStr">
        <is>
          <t>DERIVED</t>
        </is>
      </c>
      <c r="H31" t="inlineStr">
        <is>
          <t>Field tensor</t>
        </is>
      </c>
    </row>
    <row r="32">
      <c r="A32" t="inlineStr">
        <is>
          <t>EQ-027</t>
        </is>
      </c>
      <c r="B32" t="inlineStr">
        <is>
          <t>Physics</t>
        </is>
      </c>
      <c r="C32" t="inlineStr">
        <is>
          <t>∇^μG_{μν}=0</t>
        </is>
      </c>
      <c r="D32" t="inlineStr">
        <is>
          <t>Contracted Bianchi identity</t>
        </is>
      </c>
      <c r="E32" t="inlineStr">
        <is>
          <t>G_{μν}</t>
        </is>
      </c>
      <c r="F32" t="inlineStr">
        <is>
          <t>Physics</t>
        </is>
      </c>
      <c r="G32" t="inlineStr">
        <is>
          <t>DERIVED</t>
        </is>
      </c>
      <c r="H32" t="inlineStr">
        <is>
          <t>Conservation</t>
        </is>
      </c>
    </row>
    <row r="33">
      <c r="A33" t="inlineStr">
        <is>
          <t>EQ-028</t>
        </is>
      </c>
      <c r="B33" t="inlineStr">
        <is>
          <t>Physics</t>
        </is>
      </c>
      <c r="C33" t="inlineStr">
        <is>
          <t>G_{μν}+Λg_{μν}=αT_{μν}</t>
        </is>
      </c>
      <c r="D33" t="inlineStr">
        <is>
          <t>Einstein-field representation</t>
        </is>
      </c>
      <c r="E33" t="inlineStr">
        <is>
          <t>G,g,T</t>
        </is>
      </c>
      <c r="F33" t="inlineStr">
        <is>
          <t>Physics</t>
        </is>
      </c>
      <c r="G33" t="inlineStr">
        <is>
          <t>DERIVED</t>
        </is>
      </c>
      <c r="H33" t="inlineStr">
        <is>
          <t>Field equation</t>
        </is>
      </c>
    </row>
    <row r="34">
      <c r="A34" t="inlineStr">
        <is>
          <t>EQ-029</t>
        </is>
      </c>
      <c r="B34" t="inlineStr">
        <is>
          <t>Physics</t>
        </is>
      </c>
      <c r="C34" t="inlineStr">
        <is>
          <t>∇^μT_{μν}=0</t>
        </is>
      </c>
      <c r="D34" t="inlineStr">
        <is>
          <t>Stress-energy conservation</t>
        </is>
      </c>
      <c r="E34" t="inlineStr">
        <is>
          <t>T,g</t>
        </is>
      </c>
      <c r="F34" t="inlineStr">
        <is>
          <t>Physics</t>
        </is>
      </c>
      <c r="G34" t="inlineStr">
        <is>
          <t>DERIVED</t>
        </is>
      </c>
      <c r="H34" t="inlineStr">
        <is>
          <t>Conservation</t>
        </is>
      </c>
    </row>
    <row r="35">
      <c r="A35" t="inlineStr">
        <is>
          <t>EQ-030</t>
        </is>
      </c>
      <c r="B35" t="inlineStr">
        <is>
          <t>Variational</t>
        </is>
      </c>
      <c r="C35" t="inlineStr">
        <is>
          <t>δS=0</t>
        </is>
      </c>
      <c r="D35" t="inlineStr">
        <is>
          <t>Stationary-action principle</t>
        </is>
      </c>
      <c r="E35" t="inlineStr">
        <is>
          <t>S</t>
        </is>
      </c>
      <c r="F35" t="inlineStr">
        <is>
          <t>Variational</t>
        </is>
      </c>
      <c r="G35" t="inlineStr">
        <is>
          <t>DERIVED</t>
        </is>
      </c>
      <c r="H35" t="inlineStr">
        <is>
          <t>Principle</t>
        </is>
      </c>
    </row>
    <row r="36">
      <c r="A36" t="inlineStr">
        <is>
          <t>EQ-031</t>
        </is>
      </c>
      <c r="B36" t="inlineStr">
        <is>
          <t>Variational</t>
        </is>
      </c>
      <c r="C36" t="inlineStr">
        <is>
          <t>d/dt(∂L/∂q̇_i)-∂L/∂q_i=0</t>
        </is>
      </c>
      <c r="D36" t="inlineStr">
        <is>
          <t>Euler–Lagrange equation</t>
        </is>
      </c>
      <c r="E36" t="inlineStr">
        <is>
          <t>Lagrangian</t>
        </is>
      </c>
      <c r="F36" t="inlineStr">
        <is>
          <t>Variational</t>
        </is>
      </c>
      <c r="G36" t="inlineStr">
        <is>
          <t>VERIFIED</t>
        </is>
      </c>
      <c r="H36" t="inlineStr">
        <is>
          <t>Equation</t>
        </is>
      </c>
      <c r="I36" t="inlineStr">
        <is>
          <t>Certified in recovery ledger.</t>
        </is>
      </c>
    </row>
    <row r="37">
      <c r="A37" t="inlineStr">
        <is>
          <t>EQ-032</t>
        </is>
      </c>
      <c r="B37" t="inlineStr">
        <is>
          <t>Quantum</t>
        </is>
      </c>
      <c r="C37" t="inlineStr">
        <is>
          <t>iℏ ∂_t ψ = Ĥψ</t>
        </is>
      </c>
      <c r="D37" t="inlineStr">
        <is>
          <t>Schrödinger equation</t>
        </is>
      </c>
      <c r="E37" t="inlineStr">
        <is>
          <t>Hamiltonian</t>
        </is>
      </c>
      <c r="F37" t="inlineStr">
        <is>
          <t>Quantum</t>
        </is>
      </c>
      <c r="G37" t="inlineStr">
        <is>
          <t>DERIVED</t>
        </is>
      </c>
      <c r="H37" t="inlineStr">
        <is>
          <t>Evolution</t>
        </is>
      </c>
    </row>
    <row r="38">
      <c r="A38" t="inlineStr">
        <is>
          <t>EQ-033</t>
        </is>
      </c>
      <c r="B38" t="inlineStr">
        <is>
          <t>Quantum</t>
        </is>
      </c>
      <c r="C38" t="inlineStr">
        <is>
          <t>[X̂,P̂]=iℏ I</t>
        </is>
      </c>
      <c r="D38" t="inlineStr">
        <is>
          <t>Canonical commutator</t>
        </is>
      </c>
      <c r="E38" t="inlineStr">
        <is>
          <t>X̂,P̂</t>
        </is>
      </c>
      <c r="F38" t="inlineStr">
        <is>
          <t>Quantum</t>
        </is>
      </c>
      <c r="G38" t="inlineStr">
        <is>
          <t>DERIVED</t>
        </is>
      </c>
      <c r="H38" t="inlineStr">
        <is>
          <t>Algebra</t>
        </is>
      </c>
    </row>
    <row r="39">
      <c r="A39" t="inlineStr">
        <is>
          <t>EQ-034</t>
        </is>
      </c>
      <c r="B39" t="inlineStr">
        <is>
          <t>Quantum</t>
        </is>
      </c>
      <c r="C39" t="inlineStr">
        <is>
          <t>P̂=-iℏ Φ</t>
        </is>
      </c>
      <c r="D39" t="inlineStr">
        <is>
          <t>Momentum/operator representation</t>
        </is>
      </c>
      <c r="E39" t="inlineStr">
        <is>
          <t>Φ</t>
        </is>
      </c>
      <c r="F39" t="inlineStr">
        <is>
          <t>Quantum</t>
        </is>
      </c>
      <c r="G39" t="inlineStr">
        <is>
          <t>DERIVED</t>
        </is>
      </c>
      <c r="H39" t="inlineStr">
        <is>
          <t>Operator</t>
        </is>
      </c>
    </row>
    <row r="40">
      <c r="A40" t="inlineStr">
        <is>
          <t>EQ-035</t>
        </is>
      </c>
      <c r="B40" t="inlineStr">
        <is>
          <t>Quantum</t>
        </is>
      </c>
      <c r="C40" t="inlineStr">
        <is>
          <t>𝒟^2=L⊗I_spin</t>
        </is>
      </c>
      <c r="D40" t="inlineStr">
        <is>
          <t>Dirac/spectral lift</t>
        </is>
      </c>
      <c r="E40" t="inlineStr">
        <is>
          <t>L</t>
        </is>
      </c>
      <c r="F40" t="inlineStr">
        <is>
          <t>Quantum</t>
        </is>
      </c>
      <c r="G40" t="inlineStr">
        <is>
          <t>DERIVED</t>
        </is>
      </c>
      <c r="H40" t="inlineStr">
        <is>
          <t>Operator</t>
        </is>
      </c>
    </row>
    <row r="41">
      <c r="A41" t="inlineStr">
        <is>
          <t>EQ-036</t>
        </is>
      </c>
      <c r="B41" t="inlineStr">
        <is>
          <t>Gauge</t>
        </is>
      </c>
      <c r="C41" t="inlineStr">
        <is>
          <t>D_μ=∂_μ-igA_μ</t>
        </is>
      </c>
      <c r="D41" t="inlineStr">
        <is>
          <t>Gauge-covariant derivative</t>
        </is>
      </c>
      <c r="E41" t="inlineStr">
        <is>
          <t>A_μ</t>
        </is>
      </c>
      <c r="F41" t="inlineStr">
        <is>
          <t>Gauge</t>
        </is>
      </c>
      <c r="G41" t="inlineStr">
        <is>
          <t>DERIVED</t>
        </is>
      </c>
      <c r="H41" t="inlineStr">
        <is>
          <t>Operator</t>
        </is>
      </c>
    </row>
    <row r="42">
      <c r="A42" t="inlineStr">
        <is>
          <t>EQ-037</t>
        </is>
      </c>
      <c r="B42" t="inlineStr">
        <is>
          <t>Gauge</t>
        </is>
      </c>
      <c r="C42" t="inlineStr">
        <is>
          <t>F_{μν}=∂_μA_ν-∂_νA_μ-ig[A_μ,A_ν]</t>
        </is>
      </c>
      <c r="D42" t="inlineStr">
        <is>
          <t>Gauge curvature</t>
        </is>
      </c>
      <c r="E42" t="inlineStr">
        <is>
          <t>A_μ</t>
        </is>
      </c>
      <c r="F42" t="inlineStr">
        <is>
          <t>Gauge</t>
        </is>
      </c>
      <c r="G42" t="inlineStr">
        <is>
          <t>DERIVED</t>
        </is>
      </c>
      <c r="H42" t="inlineStr">
        <is>
          <t>Field strength</t>
        </is>
      </c>
    </row>
    <row r="43">
      <c r="A43" t="inlineStr">
        <is>
          <t>EQ-038</t>
        </is>
      </c>
      <c r="B43" t="inlineStr">
        <is>
          <t>NCG</t>
        </is>
      </c>
      <c r="C43" t="inlineStr">
        <is>
          <t>𝒱_O=Tr f(𝒟^2/Λ_cut^2)</t>
        </is>
      </c>
      <c r="D43" t="inlineStr">
        <is>
          <t>Spectral action</t>
        </is>
      </c>
      <c r="E43" t="inlineStr">
        <is>
          <t>𝒟,Λ_cut</t>
        </is>
      </c>
      <c r="F43" t="inlineStr">
        <is>
          <t>NCG</t>
        </is>
      </c>
      <c r="G43" t="inlineStr">
        <is>
          <t>DERIVED</t>
        </is>
      </c>
      <c r="H43" t="inlineStr">
        <is>
          <t>Action</t>
        </is>
      </c>
    </row>
    <row r="44">
      <c r="A44" t="inlineStr">
        <is>
          <t>EQ-039</t>
        </is>
      </c>
      <c r="B44" t="inlineStr">
        <is>
          <t>NCG</t>
        </is>
      </c>
      <c r="C44" t="inlineStr">
        <is>
          <t>c_total=c_matter+c_ghost=0</t>
        </is>
      </c>
      <c r="D44" t="inlineStr">
        <is>
          <t>Total central-charge balance</t>
        </is>
      </c>
      <c r="E44" t="inlineStr">
        <is>
          <t>Matter,ghost</t>
        </is>
      </c>
      <c r="F44" t="inlineStr">
        <is>
          <t>NCG</t>
        </is>
      </c>
      <c r="G44" t="inlineStr">
        <is>
          <t>DERIVED</t>
        </is>
      </c>
      <c r="H44" t="inlineStr">
        <is>
          <t>Constraint</t>
        </is>
      </c>
    </row>
    <row r="45">
      <c r="A45" t="inlineStr">
        <is>
          <t>EQ-040</t>
        </is>
      </c>
      <c r="B45" t="inlineStr">
        <is>
          <t>Thermo</t>
        </is>
      </c>
      <c r="C45" t="inlineStr">
        <is>
          <t>e=E/ρ-1/2 u^αu_α</t>
        </is>
      </c>
      <c r="D45" t="inlineStr">
        <is>
          <t>Internal energy density relation</t>
        </is>
      </c>
      <c r="E45" t="inlineStr">
        <is>
          <t>E,ρ,u</t>
        </is>
      </c>
      <c r="F45" t="inlineStr">
        <is>
          <t>Thermodynamic</t>
        </is>
      </c>
      <c r="G45" t="inlineStr">
        <is>
          <t>VERIFIED</t>
        </is>
      </c>
      <c r="H45" t="inlineStr">
        <is>
          <t>State variable</t>
        </is>
      </c>
      <c r="I45" t="inlineStr">
        <is>
          <t>TRC certified.</t>
        </is>
      </c>
    </row>
    <row r="46">
      <c r="A46" t="inlineStr">
        <is>
          <t>EQ-041</t>
        </is>
      </c>
      <c r="B46" t="inlineStr">
        <is>
          <t>Thermo</t>
        </is>
      </c>
      <c r="C46" t="inlineStr">
        <is>
          <t>S^μ</t>
        </is>
      </c>
      <c r="D46" t="inlineStr">
        <is>
          <t>Entropy current</t>
        </is>
      </c>
      <c r="E46" t="inlineStr">
        <is>
          <t>Thermodynamic state</t>
        </is>
      </c>
      <c r="F46" t="inlineStr">
        <is>
          <t>Thermodynamic</t>
        </is>
      </c>
      <c r="G46" t="inlineStr">
        <is>
          <t>VERIFIED</t>
        </is>
      </c>
      <c r="H46" t="inlineStr">
        <is>
          <t>Current</t>
        </is>
      </c>
      <c r="I46" t="inlineStr">
        <is>
          <t>TRC certified.</t>
        </is>
      </c>
    </row>
    <row r="47">
      <c r="A47" t="inlineStr">
        <is>
          <t>EQ-042</t>
        </is>
      </c>
      <c r="B47" t="inlineStr">
        <is>
          <t>Thermo</t>
        </is>
      </c>
      <c r="C47" t="inlineStr">
        <is>
          <t>q^μ=-κ∇^μT, κ≥0</t>
        </is>
      </c>
      <c r="D47" t="inlineStr">
        <is>
          <t>Fourier heat flux</t>
        </is>
      </c>
      <c r="E47" t="inlineStr">
        <is>
          <t>T,κ</t>
        </is>
      </c>
      <c r="F47" t="inlineStr">
        <is>
          <t>Thermodynamic</t>
        </is>
      </c>
      <c r="G47" t="inlineStr">
        <is>
          <t>VERIFIED</t>
        </is>
      </c>
      <c r="H47" t="inlineStr">
        <is>
          <t>Transport</t>
        </is>
      </c>
      <c r="I47" t="inlineStr">
        <is>
          <t>TRC certified.</t>
        </is>
      </c>
    </row>
    <row r="48">
      <c r="A48" t="inlineStr">
        <is>
          <t>EQ-043</t>
        </is>
      </c>
      <c r="B48" t="inlineStr">
        <is>
          <t>Thermo</t>
        </is>
      </c>
      <c r="C48" t="inlineStr">
        <is>
          <t>Clausius–Duhem inequality</t>
        </is>
      </c>
      <c r="D48" t="inlineStr">
        <is>
          <t>Entropy-production constraint</t>
        </is>
      </c>
      <c r="E48" t="inlineStr">
        <is>
          <t>Entropy,flux</t>
        </is>
      </c>
      <c r="F48" t="inlineStr">
        <is>
          <t>Thermodynamic</t>
        </is>
      </c>
      <c r="G48" t="inlineStr">
        <is>
          <t>VERIFIED</t>
        </is>
      </c>
      <c r="H48" t="inlineStr">
        <is>
          <t>Inequality</t>
        </is>
      </c>
      <c r="I48" t="inlineStr">
        <is>
          <t>TRC certified.</t>
        </is>
      </c>
    </row>
    <row r="49">
      <c r="A49" t="inlineStr">
        <is>
          <t>EQ-044</t>
        </is>
      </c>
      <c r="B49" t="inlineStr">
        <is>
          <t>Statistical</t>
        </is>
      </c>
      <c r="C49" t="inlineStr">
        <is>
          <t>P(x,t)</t>
        </is>
      </c>
      <c r="D49" t="inlineStr">
        <is>
          <t>Probability density evolution state</t>
        </is>
      </c>
      <c r="E49" t="inlineStr">
        <is>
          <t>Ω,F</t>
        </is>
      </c>
      <c r="F49" t="inlineStr">
        <is>
          <t>Statistical</t>
        </is>
      </c>
      <c r="G49" t="inlineStr">
        <is>
          <t>DERIVED</t>
        </is>
      </c>
      <c r="H49" t="inlineStr">
        <is>
          <t>State</t>
        </is>
      </c>
    </row>
    <row r="50">
      <c r="A50" t="inlineStr">
        <is>
          <t>EQ-045</t>
        </is>
      </c>
      <c r="B50" t="inlineStr">
        <is>
          <t>Statistical</t>
        </is>
      </c>
      <c r="C50" t="inlineStr">
        <is>
          <t>Z=Σ_x e^{-βE_x}</t>
        </is>
      </c>
      <c r="D50" t="inlineStr">
        <is>
          <t>Partition function</t>
        </is>
      </c>
      <c r="E50" t="inlineStr">
        <is>
          <t>E,β</t>
        </is>
      </c>
      <c r="F50" t="inlineStr">
        <is>
          <t>Statistical</t>
        </is>
      </c>
      <c r="G50" t="inlineStr">
        <is>
          <t>DERIVED</t>
        </is>
      </c>
      <c r="H50" t="inlineStr">
        <is>
          <t>Partition</t>
        </is>
      </c>
      <c r="I50" t="inlineStr">
        <is>
          <t>Discrete form.</t>
        </is>
      </c>
    </row>
    <row r="51">
      <c r="A51" t="inlineStr">
        <is>
          <t>EQ-046</t>
        </is>
      </c>
      <c r="B51" t="inlineStr">
        <is>
          <t>Statistical</t>
        </is>
      </c>
      <c r="C51" t="inlineStr">
        <is>
          <t>F=-k_BT ln Z</t>
        </is>
      </c>
      <c r="D51" t="inlineStr">
        <is>
          <t>Free energy</t>
        </is>
      </c>
      <c r="E51" t="inlineStr">
        <is>
          <t>Z,T</t>
        </is>
      </c>
      <c r="F51" t="inlineStr">
        <is>
          <t>Statistical</t>
        </is>
      </c>
      <c r="G51" t="inlineStr">
        <is>
          <t>DERIVED</t>
        </is>
      </c>
      <c r="H51" t="inlineStr">
        <is>
          <t>Thermodynamic</t>
        </is>
      </c>
    </row>
    <row r="52">
      <c r="A52" t="inlineStr">
        <is>
          <t>EQ-047</t>
        </is>
      </c>
      <c r="B52" t="inlineStr">
        <is>
          <t>Statistical</t>
        </is>
      </c>
      <c r="C52" t="inlineStr">
        <is>
          <t>L φ_i=λ_iφ_i</t>
        </is>
      </c>
      <c r="D52" t="inlineStr">
        <is>
          <t>Generator spectral decomposition</t>
        </is>
      </c>
      <c r="E52" t="inlineStr">
        <is>
          <t>L</t>
        </is>
      </c>
      <c r="F52" t="inlineStr">
        <is>
          <t>Statistical</t>
        </is>
      </c>
      <c r="G52" t="inlineStr">
        <is>
          <t>DERIVED</t>
        </is>
      </c>
      <c r="H52" t="inlineStr">
        <is>
          <t>Spectral</t>
        </is>
      </c>
    </row>
    <row r="53">
      <c r="A53" t="inlineStr">
        <is>
          <t>EQ-048</t>
        </is>
      </c>
      <c r="B53" t="inlineStr">
        <is>
          <t>Statistical</t>
        </is>
      </c>
      <c r="C53" t="inlineStr">
        <is>
          <t>τ_relax ~ 1/λ_gap</t>
        </is>
      </c>
      <c r="D53" t="inlineStr">
        <is>
          <t>Relaxation timescale from spectral gap</t>
        </is>
      </c>
      <c r="E53" t="inlineStr">
        <is>
          <t>λ_gap</t>
        </is>
      </c>
      <c r="F53" t="inlineStr">
        <is>
          <t>Statistical</t>
        </is>
      </c>
      <c r="G53" t="inlineStr">
        <is>
          <t>DERIVED</t>
        </is>
      </c>
      <c r="H53" t="inlineStr">
        <is>
          <t>Timescale</t>
        </is>
      </c>
    </row>
    <row r="54">
      <c r="A54" t="inlineStr">
        <is>
          <t>EQ-049</t>
        </is>
      </c>
      <c r="B54" t="inlineStr">
        <is>
          <t>Statistical</t>
        </is>
      </c>
      <c r="C54" t="inlineStr">
        <is>
          <t>D_KL(P||Q)=Σ P ln(P/Q)</t>
        </is>
      </c>
      <c r="D54" t="inlineStr">
        <is>
          <t>KL divergence</t>
        </is>
      </c>
      <c r="E54" t="inlineStr">
        <is>
          <t>P,Q</t>
        </is>
      </c>
      <c r="F54" t="inlineStr">
        <is>
          <t>Statistical</t>
        </is>
      </c>
      <c r="G54" t="inlineStr">
        <is>
          <t>DERIVED</t>
        </is>
      </c>
      <c r="H54" t="inlineStr">
        <is>
          <t>Information</t>
        </is>
      </c>
    </row>
    <row r="55">
      <c r="A55" t="inlineStr">
        <is>
          <t>EQ-050</t>
        </is>
      </c>
      <c r="B55" t="inlineStr">
        <is>
          <t>Statistical</t>
        </is>
      </c>
      <c r="C55" t="inlineStr">
        <is>
          <t>I_F(θ)=E[(∂_θ ln p)^2]</t>
        </is>
      </c>
      <c r="D55" t="inlineStr">
        <is>
          <t>Fisher information</t>
        </is>
      </c>
      <c r="E55" t="inlineStr">
        <is>
          <t>p(·|θ)</t>
        </is>
      </c>
      <c r="F55" t="inlineStr">
        <is>
          <t>Statistical</t>
        </is>
      </c>
      <c r="G55" t="inlineStr">
        <is>
          <t>DERIVED</t>
        </is>
      </c>
      <c r="H55" t="inlineStr">
        <is>
          <t>Information metric</t>
        </is>
      </c>
    </row>
    <row r="56">
      <c r="A56" t="inlineStr">
        <is>
          <t>EQ-051</t>
        </is>
      </c>
      <c r="B56" t="inlineStr">
        <is>
          <t>Statistical</t>
        </is>
      </c>
      <c r="C56" t="inlineStr">
        <is>
          <t>g^F_{ij}=I_{ij}</t>
        </is>
      </c>
      <c r="D56" t="inlineStr">
        <is>
          <t>Fisher–Rao metric</t>
        </is>
      </c>
      <c r="E56" t="inlineStr">
        <is>
          <t>I_F</t>
        </is>
      </c>
      <c r="F56" t="inlineStr">
        <is>
          <t>Statistical</t>
        </is>
      </c>
      <c r="G56" t="inlineStr">
        <is>
          <t>DERIVED</t>
        </is>
      </c>
      <c r="H56" t="inlineStr">
        <is>
          <t>Metric</t>
        </is>
      </c>
    </row>
    <row r="57">
      <c r="A57" t="inlineStr">
        <is>
          <t>EQ-052</t>
        </is>
      </c>
      <c r="B57" t="inlineStr">
        <is>
          <t>Statistical</t>
        </is>
      </c>
      <c r="C57" t="inlineStr">
        <is>
          <t>Γ^k_{ij}=1/2 g^{kl}(∂_i g_{jl}+∂_j g_{il}-∂_l g_{ij})</t>
        </is>
      </c>
      <c r="D57" t="inlineStr">
        <is>
          <t>Levi-Civita connection on information manifold</t>
        </is>
      </c>
      <c r="E57" t="inlineStr">
        <is>
          <t>g^F</t>
        </is>
      </c>
      <c r="F57" t="inlineStr">
        <is>
          <t>Statistical</t>
        </is>
      </c>
      <c r="G57" t="inlineStr">
        <is>
          <t>DERIVED</t>
        </is>
      </c>
      <c r="H57" t="inlineStr">
        <is>
          <t>Connection</t>
        </is>
      </c>
    </row>
    <row r="58">
      <c r="A58" t="inlineStr">
        <is>
          <t>EQ-053</t>
        </is>
      </c>
      <c r="B58" t="inlineStr">
        <is>
          <t>Statistical</t>
        </is>
      </c>
      <c r="C58" t="inlineStr">
        <is>
          <t>R^l_{ijk}</t>
        </is>
      </c>
      <c r="D58" t="inlineStr">
        <is>
          <t>Riemann curvature on information manifold</t>
        </is>
      </c>
      <c r="E58" t="inlineStr">
        <is>
          <t>Γ^k_{ij}</t>
        </is>
      </c>
      <c r="F58" t="inlineStr">
        <is>
          <t>Statistical</t>
        </is>
      </c>
      <c r="G58" t="inlineStr">
        <is>
          <t>DERIVED</t>
        </is>
      </c>
      <c r="H58" t="inlineStr">
        <is>
          <t>Curvature</t>
        </is>
      </c>
    </row>
    <row r="59">
      <c r="A59" t="inlineStr">
        <is>
          <t>EQ-054</t>
        </is>
      </c>
      <c r="B59" t="inlineStr">
        <is>
          <t>Statistical</t>
        </is>
      </c>
      <c r="C59" t="inlineStr">
        <is>
          <t>R_{ij}, R, G_{ij}</t>
        </is>
      </c>
      <c r="D59" t="inlineStr">
        <is>
          <t>Ricci/scalar/Einstein recovery on information manifold</t>
        </is>
      </c>
      <c r="E59" t="inlineStr">
        <is>
          <t>Riemann,g^F</t>
        </is>
      </c>
      <c r="F59" t="inlineStr">
        <is>
          <t>Statistical</t>
        </is>
      </c>
      <c r="G59" t="inlineStr">
        <is>
          <t>DERIVED</t>
        </is>
      </c>
      <c r="H59" t="inlineStr">
        <is>
          <t>Curvature</t>
        </is>
      </c>
    </row>
    <row r="60">
      <c r="A60" t="inlineStr">
        <is>
          <t>EQ-055</t>
        </is>
      </c>
      <c r="B60" t="inlineStr">
        <is>
          <t>NCG</t>
        </is>
      </c>
      <c r="C60" t="inlineStr">
        <is>
          <t>M=S_L \overline{M} S_R^{-1}</t>
        </is>
      </c>
      <c r="D60" t="inlineStr">
        <is>
          <t>KO=4 real-structure compatibility</t>
        </is>
      </c>
      <c r="E60" t="inlineStr">
        <is>
          <t>M,J_F</t>
        </is>
      </c>
      <c r="F60" t="inlineStr">
        <is>
          <t>NCG</t>
        </is>
      </c>
      <c r="G60" t="inlineStr">
        <is>
          <t>DERIVED</t>
        </is>
      </c>
      <c r="H60" t="inlineStr">
        <is>
          <t>Constraint</t>
        </is>
      </c>
    </row>
    <row r="61">
      <c r="A61" t="inlineStr">
        <is>
          <t>EQ-056</t>
        </is>
      </c>
      <c r="B61" t="inlineStr">
        <is>
          <t>NCG</t>
        </is>
      </c>
      <c r="C61" t="inlineStr">
        <is>
          <t>J_F^2=-1</t>
        </is>
      </c>
      <c r="D61" t="inlineStr">
        <is>
          <t>KO=4 real-structure square</t>
        </is>
      </c>
      <c r="E61" t="inlineStr">
        <is>
          <t>J_F</t>
        </is>
      </c>
      <c r="F61" t="inlineStr">
        <is>
          <t>NCG</t>
        </is>
      </c>
      <c r="G61" t="inlineStr">
        <is>
          <t>DERIVED</t>
        </is>
      </c>
      <c r="H61" t="inlineStr">
        <is>
          <t>Constraint</t>
        </is>
      </c>
    </row>
    <row r="62">
      <c r="A62" t="inlineStr">
        <is>
          <t>EQ-057</t>
        </is>
      </c>
      <c r="B62" t="inlineStr">
        <is>
          <t>NCG</t>
        </is>
      </c>
      <c r="C62" t="inlineStr">
        <is>
          <t>J_FD_F=D_FJ_F</t>
        </is>
      </c>
      <c r="D62" t="inlineStr">
        <is>
          <t>KO=4 real-structure/Dirac compatibility</t>
        </is>
      </c>
      <c r="E62" t="inlineStr">
        <is>
          <t>J_F,D_F</t>
        </is>
      </c>
      <c r="F62" t="inlineStr">
        <is>
          <t>NCG</t>
        </is>
      </c>
      <c r="G62" t="inlineStr">
        <is>
          <t>DERIVED</t>
        </is>
      </c>
      <c r="H62" t="inlineStr">
        <is>
          <t>Constraint</t>
        </is>
      </c>
    </row>
    <row r="63">
      <c r="A63" t="inlineStr">
        <is>
          <t>EQ-058</t>
        </is>
      </c>
      <c r="B63" t="inlineStr">
        <is>
          <t>NCG</t>
        </is>
      </c>
      <c r="C63" t="inlineStr">
        <is>
          <t>{D_F,γ_F}=0</t>
        </is>
      </c>
      <c r="D63" t="inlineStr">
        <is>
          <t>Even spectral triple grading</t>
        </is>
      </c>
      <c r="E63" t="inlineStr">
        <is>
          <t>D_F,γ_F</t>
        </is>
      </c>
      <c r="F63" t="inlineStr">
        <is>
          <t>NCG</t>
        </is>
      </c>
      <c r="G63" t="inlineStr">
        <is>
          <t>DERIVED</t>
        </is>
      </c>
      <c r="H63" t="inlineStr">
        <is>
          <t>Constraint</t>
        </is>
      </c>
    </row>
    <row r="64">
      <c r="A64" t="inlineStr">
        <is>
          <t>EQ-059</t>
        </is>
      </c>
      <c r="B64" t="inlineStr">
        <is>
          <t>NCG</t>
        </is>
      </c>
      <c r="C64" t="inlineStr">
        <is>
          <t>μ_{ij}=n_{ij}^{(+)}-n_{ij}^{(-)}</t>
        </is>
      </c>
      <c r="D64" t="inlineStr">
        <is>
          <t>Poincaré-duality intersection matrix</t>
        </is>
      </c>
      <c r="E64" t="inlineStr">
        <is>
          <t>Representation data</t>
        </is>
      </c>
      <c r="F64" t="inlineStr">
        <is>
          <t>NCG</t>
        </is>
      </c>
      <c r="G64" t="inlineStr">
        <is>
          <t>DERIVED</t>
        </is>
      </c>
      <c r="H64" t="inlineStr">
        <is>
          <t>Matrix</t>
        </is>
      </c>
    </row>
    <row r="65">
      <c r="A65" t="inlineStr">
        <is>
          <t>EQ-060</t>
        </is>
      </c>
      <c r="B65" t="inlineStr">
        <is>
          <t>NCG</t>
        </is>
      </c>
      <c r="C65" t="inlineStr">
        <is>
          <t>Q_{ij}=Tr[γ_Fπ(e_i)J_Fπ(e_j)J_F^{-1}]</t>
        </is>
      </c>
      <c r="D65" t="inlineStr">
        <is>
          <t>Intersection form</t>
        </is>
      </c>
      <c r="E65" t="inlineStr">
        <is>
          <t>π,J_F,γ_F</t>
        </is>
      </c>
      <c r="F65" t="inlineStr">
        <is>
          <t>NCG</t>
        </is>
      </c>
      <c r="G65" t="inlineStr">
        <is>
          <t>DERIVED</t>
        </is>
      </c>
      <c r="H65" t="inlineStr">
        <is>
          <t>Matrix</t>
        </is>
      </c>
    </row>
    <row r="66">
      <c r="A66" t="inlineStr">
        <is>
          <t>EQ-061</t>
        </is>
      </c>
      <c r="B66" t="inlineStr">
        <is>
          <t>NCG</t>
        </is>
      </c>
      <c r="C66" t="inlineStr">
        <is>
          <t>det Q≠0</t>
        </is>
      </c>
      <c r="D66" t="inlineStr">
        <is>
          <t>Poincaré duality criterion</t>
        </is>
      </c>
      <c r="E66" t="inlineStr">
        <is>
          <t>Q</t>
        </is>
      </c>
      <c r="F66" t="inlineStr">
        <is>
          <t>NCG</t>
        </is>
      </c>
      <c r="G66" t="inlineStr">
        <is>
          <t>DERIVED</t>
        </is>
      </c>
      <c r="H66" t="inlineStr">
        <is>
          <t>Criterion</t>
        </is>
      </c>
    </row>
    <row r="67">
      <c r="A67" t="inlineStr">
        <is>
          <t>EQ-062</t>
        </is>
      </c>
      <c r="B67" t="inlineStr">
        <is>
          <t>NCG</t>
        </is>
      </c>
      <c r="C67" t="inlineStr">
        <is>
          <t>γ_F=π_D(c)</t>
        </is>
      </c>
      <c r="D67" t="inlineStr">
        <is>
          <t>Orientability/Hochschild-cycle form</t>
        </is>
      </c>
      <c r="E67" t="inlineStr">
        <is>
          <t>π_D,c</t>
        </is>
      </c>
      <c r="F67" t="inlineStr">
        <is>
          <t>NCG</t>
        </is>
      </c>
      <c r="G67" t="inlineStr">
        <is>
          <t>DERIVED</t>
        </is>
      </c>
      <c r="H67" t="inlineStr">
        <is>
          <t>Criterion</t>
        </is>
      </c>
    </row>
    <row r="68">
      <c r="A68" t="inlineStr">
        <is>
          <t>EQ-063</t>
        </is>
      </c>
      <c r="B68" t="inlineStr">
        <is>
          <t>Flavor</t>
        </is>
      </c>
      <c r="C68" t="inlineStr">
        <is>
          <t>G_SM=SU(3)×SU(2)×U(1)</t>
        </is>
      </c>
      <c r="D68" t="inlineStr">
        <is>
          <t>Standard Model gauge group realization</t>
        </is>
      </c>
      <c r="E68" t="inlineStr">
        <is>
          <t>Finite representation</t>
        </is>
      </c>
      <c r="F68" t="inlineStr">
        <is>
          <t>Gauge/NCG</t>
        </is>
      </c>
      <c r="G68" t="inlineStr">
        <is>
          <t>VERIFIED</t>
        </is>
      </c>
      <c r="H68" t="inlineStr">
        <is>
          <t>Group</t>
        </is>
      </c>
      <c r="I68" t="inlineStr">
        <is>
          <t>Prior project result retained as derived.</t>
        </is>
      </c>
    </row>
    <row r="69">
      <c r="A69" t="inlineStr">
        <is>
          <t>EQ-064</t>
        </is>
      </c>
      <c r="B69" t="inlineStr">
        <is>
          <t>Flavor</t>
        </is>
      </c>
      <c r="C69" t="inlineStr">
        <is>
          <t>V_CKM=U_{u,L}^†U_{d,L}</t>
        </is>
      </c>
      <c r="D69" t="inlineStr">
        <is>
          <t>CKM mixing matrix</t>
        </is>
      </c>
      <c r="E69" t="inlineStr">
        <is>
          <t>Y_u,Y_d</t>
        </is>
      </c>
      <c r="F69" t="inlineStr">
        <is>
          <t>Flavor</t>
        </is>
      </c>
      <c r="G69" t="inlineStr">
        <is>
          <t>DERIVED</t>
        </is>
      </c>
      <c r="H69" t="inlineStr">
        <is>
          <t>Mixing</t>
        </is>
      </c>
    </row>
    <row r="70">
      <c r="A70" t="inlineStr">
        <is>
          <t>EQ-065</t>
        </is>
      </c>
      <c r="B70" t="inlineStr">
        <is>
          <t>Flavor</t>
        </is>
      </c>
      <c r="C70" t="inlineStr">
        <is>
          <t>U_PMNS=U_{e,L}^†U_{ν,L}</t>
        </is>
      </c>
      <c r="D70" t="inlineStr">
        <is>
          <t>PMNS mixing matrix</t>
        </is>
      </c>
      <c r="E70" t="inlineStr">
        <is>
          <t>Y_e,Y_ν</t>
        </is>
      </c>
      <c r="F70" t="inlineStr">
        <is>
          <t>Flavor</t>
        </is>
      </c>
      <c r="G70" t="inlineStr">
        <is>
          <t>DERIVED</t>
        </is>
      </c>
      <c r="H70" t="inlineStr">
        <is>
          <t>Mixing</t>
        </is>
      </c>
    </row>
    <row r="71">
      <c r="A71" t="inlineStr">
        <is>
          <t>EQ-066</t>
        </is>
      </c>
      <c r="B71" t="inlineStr">
        <is>
          <t>Rosetta</t>
        </is>
      </c>
      <c r="C71" t="inlineStr">
        <is>
          <t>Physics_Standard=ℛ(𝒪)</t>
        </is>
      </c>
      <c r="D71" t="inlineStr">
        <is>
          <t>Domain representation as Rosetta translation</t>
        </is>
      </c>
      <c r="E71" t="inlineStr">
        <is>
          <t>𝒪,ℛ</t>
        </is>
      </c>
      <c r="F71" t="inlineStr">
        <is>
          <t>Rosetta</t>
        </is>
      </c>
      <c r="G71" t="inlineStr">
        <is>
          <t>DERIVED</t>
        </is>
      </c>
      <c r="H71" t="inlineStr">
        <is>
          <t>Translation</t>
        </is>
      </c>
    </row>
    <row r="72">
      <c r="A72" t="inlineStr">
        <is>
          <t>EQ-067</t>
        </is>
      </c>
      <c r="B72" t="inlineStr">
        <is>
          <t>Rosetta</t>
        </is>
      </c>
      <c r="C72" t="inlineStr">
        <is>
          <t>ℛ_α: Domain_α → UOC</t>
        </is>
      </c>
      <c r="D72" t="inlineStr">
        <is>
          <t>Universal domain compiler map</t>
        </is>
      </c>
      <c r="E72" t="inlineStr">
        <is>
          <t>Domain,Γ,UOC</t>
        </is>
      </c>
      <c r="F72" t="inlineStr">
        <is>
          <t>Rosetta</t>
        </is>
      </c>
      <c r="G72" t="inlineStr">
        <is>
          <t>DERIVED</t>
        </is>
      </c>
      <c r="H72" t="inlineStr">
        <is>
          <t>Functor/map</t>
        </is>
      </c>
    </row>
    <row r="73">
      <c r="A73" t="inlineStr">
        <is>
          <t>EQ-068</t>
        </is>
      </c>
      <c r="B73" t="inlineStr">
        <is>
          <t>Rosetta</t>
        </is>
      </c>
      <c r="C73" t="inlineStr">
        <is>
          <t>ℛ_α^{-1}: UOC_α → Domain_α</t>
        </is>
      </c>
      <c r="D73" t="inlineStr">
        <is>
          <t>Reconstruction/translation back to domain</t>
        </is>
      </c>
      <c r="E73" t="inlineStr">
        <is>
          <t>UOC,Domain</t>
        </is>
      </c>
      <c r="F73" t="inlineStr">
        <is>
          <t>Rosetta</t>
        </is>
      </c>
      <c r="G73" t="inlineStr">
        <is>
          <t>DERIVED</t>
        </is>
      </c>
      <c r="H73" t="inlineStr">
        <is>
          <t>Functor/map</t>
        </is>
      </c>
    </row>
    <row r="74">
      <c r="A74" t="inlineStr">
        <is>
          <t>EQ-069</t>
        </is>
      </c>
      <c r="B74" t="inlineStr">
        <is>
          <t>Rosetta</t>
        </is>
      </c>
      <c r="C74" t="inlineStr">
        <is>
          <t>Adm(x)∈{0,1}</t>
        </is>
      </c>
      <c r="D74" t="inlineStr">
        <is>
          <t>Active-state admissibility predicate</t>
        </is>
      </c>
      <c r="E74" t="inlineStr">
        <is>
          <t>Status,dependencies</t>
        </is>
      </c>
      <c r="F74" t="inlineStr">
        <is>
          <t>Governance</t>
        </is>
      </c>
      <c r="G74" t="inlineStr">
        <is>
          <t>DERIVED</t>
        </is>
      </c>
      <c r="H74" t="inlineStr">
        <is>
          <t>Filter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C89B3C"/>
    <outlinePr summaryBelow="1" summaryRight="1"/>
    <pageSetUpPr/>
  </sheetPr>
  <dimension ref="A1:I46"/>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4" customWidth="1" min="2" max="2"/>
    <col width="14" customWidth="1" min="3" max="3"/>
    <col width="38" customWidth="1" min="4" max="4"/>
    <col width="34" customWidth="1" min="5" max="5"/>
    <col width="34" customWidth="1" min="6" max="6"/>
    <col width="26" customWidth="1" min="7" max="7"/>
    <col width="28" customWidth="1" min="8" max="8"/>
    <col width="48" customWidth="1" min="9" max="9"/>
  </cols>
  <sheetData>
    <row r="1" ht="32" customHeight="1">
      <c r="A1" s="9" t="inlineStr">
        <is>
          <t>MASTER DEPENDENCY CHAINLINKS</t>
        </is>
      </c>
    </row>
    <row r="2" ht="34" customHeight="1">
      <c r="A2" s="10" t="inlineStr">
        <is>
          <t>Canonical MDCL dependency graph. Every active derivation must respect the direction A ≺ B.</t>
        </is>
      </c>
    </row>
    <row r="5" ht="28" customHeight="1">
      <c r="A5" s="11" t="inlineStr">
        <is>
          <t>CL ID</t>
        </is>
      </c>
      <c r="B5" s="11" t="inlineStr">
        <is>
          <t>Upstream</t>
        </is>
      </c>
      <c r="C5" s="11" t="inlineStr">
        <is>
          <t>Relation</t>
        </is>
      </c>
      <c r="D5" s="11" t="inlineStr">
        <is>
          <t>Downstream</t>
        </is>
      </c>
      <c r="E5" s="11" t="inlineStr">
        <is>
          <t>Layer</t>
        </is>
      </c>
      <c r="F5" s="11" t="inlineStr">
        <is>
          <t>Formal bridge</t>
        </is>
      </c>
      <c r="G5" s="11" t="inlineStr">
        <is>
          <t>Status</t>
        </is>
      </c>
      <c r="H5" s="11" t="inlineStr">
        <is>
          <t>Branch</t>
        </is>
      </c>
      <c r="I5" s="11" t="inlineStr">
        <is>
          <t>Interpretation</t>
        </is>
      </c>
    </row>
    <row r="6">
      <c r="A6" t="inlineStr">
        <is>
          <t>CL-001</t>
        </is>
      </c>
      <c r="B6" t="inlineStr">
        <is>
          <t>Existence</t>
        </is>
      </c>
      <c r="C6" t="inlineStr">
        <is>
          <t>≺</t>
        </is>
      </c>
      <c r="D6" t="inlineStr">
        <is>
          <t>Primitive vector P</t>
        </is>
      </c>
      <c r="E6" t="inlineStr">
        <is>
          <t>Foundation</t>
        </is>
      </c>
      <c r="F6" t="inlineStr">
        <is>
          <t>Existence establishes admissible object domain</t>
        </is>
      </c>
      <c r="G6" t="inlineStr">
        <is>
          <t>DERIVED</t>
        </is>
      </c>
      <c r="H6" t="inlineStr">
        <is>
          <t>Foundation</t>
        </is>
      </c>
    </row>
    <row r="7">
      <c r="A7" t="inlineStr">
        <is>
          <t>CL-002</t>
        </is>
      </c>
      <c r="B7" t="inlineStr">
        <is>
          <t>P</t>
        </is>
      </c>
      <c r="C7" t="inlineStr">
        <is>
          <t>≺</t>
        </is>
      </c>
      <c r="D7" t="inlineStr">
        <is>
          <t>{D,T,C}</t>
        </is>
      </c>
      <c r="E7" t="inlineStr">
        <is>
          <t>Primitive</t>
        </is>
      </c>
      <c r="F7" t="inlineStr">
        <is>
          <t>P→primitive decomposition</t>
        </is>
      </c>
      <c r="G7" t="inlineStr">
        <is>
          <t>DERIVED</t>
        </is>
      </c>
      <c r="H7" t="inlineStr">
        <is>
          <t>Foundation</t>
        </is>
      </c>
    </row>
    <row r="8">
      <c r="A8" t="inlineStr">
        <is>
          <t>CL-003</t>
        </is>
      </c>
      <c r="B8" t="inlineStr">
        <is>
          <t>{D,T,C}</t>
        </is>
      </c>
      <c r="C8" t="inlineStr">
        <is>
          <t>≺</t>
        </is>
      </c>
      <c r="D8" t="inlineStr">
        <is>
          <t>Γ</t>
        </is>
      </c>
      <c r="E8" t="inlineStr">
        <is>
          <t>Grammar</t>
        </is>
      </c>
      <c r="F8" t="inlineStr">
        <is>
          <t>Γ=C∘T∘D</t>
        </is>
      </c>
      <c r="G8" t="inlineStr">
        <is>
          <t>DERIVED</t>
        </is>
      </c>
      <c r="H8" t="inlineStr">
        <is>
          <t>Foundation</t>
        </is>
      </c>
    </row>
    <row r="9">
      <c r="A9" t="inlineStr">
        <is>
          <t>CL-004</t>
        </is>
      </c>
      <c r="B9" t="inlineStr">
        <is>
          <t>Γ</t>
        </is>
      </c>
      <c r="C9" t="inlineStr">
        <is>
          <t>≺</t>
        </is>
      </c>
      <c r="D9" t="inlineStr">
        <is>
          <t>Ψ</t>
        </is>
      </c>
      <c r="E9" t="inlineStr">
        <is>
          <t>Dynamics</t>
        </is>
      </c>
      <c r="F9" t="inlineStr">
        <is>
          <t>Ψ_{t+1}=Γ(Ψ_t)</t>
        </is>
      </c>
      <c r="G9" t="inlineStr">
        <is>
          <t>DERIVED</t>
        </is>
      </c>
      <c r="H9" t="inlineStr">
        <is>
          <t>Organization</t>
        </is>
      </c>
    </row>
    <row r="10">
      <c r="A10" t="inlineStr">
        <is>
          <t>CL-005</t>
        </is>
      </c>
      <c r="B10" t="inlineStr">
        <is>
          <t>Ψ</t>
        </is>
      </c>
      <c r="C10" t="inlineStr">
        <is>
          <t>≺</t>
        </is>
      </c>
      <c r="D10" t="inlineStr">
        <is>
          <t>Fixed point Ψ*</t>
        </is>
      </c>
      <c r="E10" t="inlineStr">
        <is>
          <t>Organization</t>
        </is>
      </c>
      <c r="F10" t="inlineStr">
        <is>
          <t>Ψ*=Γ(Ψ*)</t>
        </is>
      </c>
      <c r="G10" t="inlineStr">
        <is>
          <t>DERIVED</t>
        </is>
      </c>
      <c r="H10" t="inlineStr">
        <is>
          <t>Organization</t>
        </is>
      </c>
    </row>
    <row r="11">
      <c r="A11" t="inlineStr">
        <is>
          <t>CL-006</t>
        </is>
      </c>
      <c r="B11" t="inlineStr">
        <is>
          <t>Γ</t>
        </is>
      </c>
      <c r="C11" t="inlineStr">
        <is>
          <t>≺</t>
        </is>
      </c>
      <c r="D11" t="inlineStr">
        <is>
          <t>MDCL</t>
        </is>
      </c>
      <c r="E11" t="inlineStr">
        <is>
          <t>Governance</t>
        </is>
      </c>
      <c r="F11" t="inlineStr">
        <is>
          <t>Dependency extraction from grammar</t>
        </is>
      </c>
      <c r="G11" t="inlineStr">
        <is>
          <t>DERIVED</t>
        </is>
      </c>
      <c r="H11" t="inlineStr">
        <is>
          <t>Compiler</t>
        </is>
      </c>
    </row>
    <row r="12">
      <c r="A12" t="inlineStr">
        <is>
          <t>CL-007</t>
        </is>
      </c>
      <c r="B12" t="inlineStr">
        <is>
          <t>MDCL</t>
        </is>
      </c>
      <c r="C12" t="inlineStr">
        <is>
          <t>≺</t>
        </is>
      </c>
      <c r="D12" t="inlineStr">
        <is>
          <t>UOC</t>
        </is>
      </c>
      <c r="E12" t="inlineStr">
        <is>
          <t>Compiler</t>
        </is>
      </c>
      <c r="F12" t="inlineStr">
        <is>
          <t>Compiler executes dependency graph</t>
        </is>
      </c>
      <c r="G12" t="inlineStr">
        <is>
          <t>DERIVED</t>
        </is>
      </c>
      <c r="H12" t="inlineStr">
        <is>
          <t>Compiler</t>
        </is>
      </c>
    </row>
    <row r="13">
      <c r="A13" t="inlineStr">
        <is>
          <t>CL-008</t>
        </is>
      </c>
      <c r="B13" t="inlineStr">
        <is>
          <t>UOC</t>
        </is>
      </c>
      <c r="C13" t="inlineStr">
        <is>
          <t>≺</t>
        </is>
      </c>
      <c r="D13" t="inlineStr">
        <is>
          <t>Canonical organizational IR</t>
        </is>
      </c>
      <c r="E13" t="inlineStr">
        <is>
          <t>Compiler</t>
        </is>
      </c>
      <c r="F13" t="inlineStr">
        <is>
          <t>Canonicalization/ontology elimination</t>
        </is>
      </c>
      <c r="G13" t="inlineStr">
        <is>
          <t>DERIVED</t>
        </is>
      </c>
      <c r="H13" t="inlineStr">
        <is>
          <t>Compiler</t>
        </is>
      </c>
    </row>
    <row r="14">
      <c r="A14" t="inlineStr">
        <is>
          <t>CL-009</t>
        </is>
      </c>
      <c r="B14" t="inlineStr">
        <is>
          <t>IR</t>
        </is>
      </c>
      <c r="C14" t="inlineStr">
        <is>
          <t>≺</t>
        </is>
      </c>
      <c r="D14" t="inlineStr">
        <is>
          <t>G</t>
        </is>
      </c>
      <c r="E14" t="inlineStr">
        <is>
          <t>Graph</t>
        </is>
      </c>
      <c r="F14" t="inlineStr">
        <is>
          <t>Relation extraction</t>
        </is>
      </c>
      <c r="G14" t="inlineStr">
        <is>
          <t>DERIVED</t>
        </is>
      </c>
      <c r="H14" t="inlineStr">
        <is>
          <t>Graph</t>
        </is>
      </c>
    </row>
    <row r="15">
      <c r="A15" t="inlineStr">
        <is>
          <t>CL-010</t>
        </is>
      </c>
      <c r="B15" t="inlineStr">
        <is>
          <t>G</t>
        </is>
      </c>
      <c r="C15" t="inlineStr">
        <is>
          <t>≺</t>
        </is>
      </c>
      <c r="D15" t="inlineStr">
        <is>
          <t>B</t>
        </is>
      </c>
      <c r="E15" t="inlineStr">
        <is>
          <t>Incidence</t>
        </is>
      </c>
      <c r="F15" t="inlineStr">
        <is>
          <t>Graph→incidence</t>
        </is>
      </c>
      <c r="G15" t="inlineStr">
        <is>
          <t>DERIVED</t>
        </is>
      </c>
      <c r="H15" t="inlineStr">
        <is>
          <t>Graph</t>
        </is>
      </c>
    </row>
    <row r="16">
      <c r="A16" t="inlineStr">
        <is>
          <t>CL-011</t>
        </is>
      </c>
      <c r="B16" t="inlineStr">
        <is>
          <t>B</t>
        </is>
      </c>
      <c r="C16" t="inlineStr">
        <is>
          <t>≺</t>
        </is>
      </c>
      <c r="D16" t="inlineStr">
        <is>
          <t>L</t>
        </is>
      </c>
      <c r="E16" t="inlineStr">
        <is>
          <t>Operator</t>
        </is>
      </c>
      <c r="F16" t="inlineStr">
        <is>
          <t>L=BBᵀ</t>
        </is>
      </c>
      <c r="G16" t="inlineStr">
        <is>
          <t>DERIVED</t>
        </is>
      </c>
      <c r="H16" t="inlineStr">
        <is>
          <t>Spectral</t>
        </is>
      </c>
    </row>
    <row r="17">
      <c r="A17" t="inlineStr">
        <is>
          <t>CL-012</t>
        </is>
      </c>
      <c r="B17" t="inlineStr">
        <is>
          <t>L</t>
        </is>
      </c>
      <c r="C17" t="inlineStr">
        <is>
          <t>≺</t>
        </is>
      </c>
      <c r="D17" t="inlineStr">
        <is>
          <t>D_G</t>
        </is>
      </c>
      <c r="E17" t="inlineStr">
        <is>
          <t>Dirac</t>
        </is>
      </c>
      <c r="F17" t="inlineStr">
        <is>
          <t>D_G=[[0,B],[Bᵀ,0]]</t>
        </is>
      </c>
      <c r="G17" t="inlineStr">
        <is>
          <t>DERIVED</t>
        </is>
      </c>
      <c r="H17" t="inlineStr">
        <is>
          <t>Spectral</t>
        </is>
      </c>
    </row>
    <row r="18">
      <c r="A18" t="inlineStr">
        <is>
          <t>CL-013</t>
        </is>
      </c>
      <c r="B18" t="inlineStr">
        <is>
          <t>D_G</t>
        </is>
      </c>
      <c r="C18" t="inlineStr">
        <is>
          <t>≺</t>
        </is>
      </c>
      <c r="D18" t="inlineStr">
        <is>
          <t>Spec|D_G|</t>
        </is>
      </c>
      <c r="E18" t="inlineStr">
        <is>
          <t>Spectrum</t>
        </is>
      </c>
      <c r="F18" t="inlineStr">
        <is>
          <t>D_G^2=diag(BBᵀ,BᵀB)</t>
        </is>
      </c>
      <c r="G18" t="inlineStr">
        <is>
          <t>DERIVED</t>
        </is>
      </c>
      <c r="H18" t="inlineStr">
        <is>
          <t>Spectral</t>
        </is>
      </c>
    </row>
    <row r="19">
      <c r="A19" t="inlineStr">
        <is>
          <t>CL-014</t>
        </is>
      </c>
      <c r="B19" t="inlineStr">
        <is>
          <t>L</t>
        </is>
      </c>
      <c r="C19" t="inlineStr">
        <is>
          <t>≺</t>
        </is>
      </c>
      <c r="D19" t="inlineStr">
        <is>
          <t>Spec(L)</t>
        </is>
      </c>
      <c r="E19" t="inlineStr">
        <is>
          <t>Spectrum</t>
        </is>
      </c>
      <c r="F19" t="inlineStr">
        <is>
          <t>Lφ_i=λ_iφ_i</t>
        </is>
      </c>
      <c r="G19" t="inlineStr">
        <is>
          <t>DERIVED</t>
        </is>
      </c>
      <c r="H19" t="inlineStr">
        <is>
          <t>Spectral</t>
        </is>
      </c>
    </row>
    <row r="20">
      <c r="A20" t="inlineStr">
        <is>
          <t>CL-015</t>
        </is>
      </c>
      <c r="B20" t="inlineStr">
        <is>
          <t>Spec(L)</t>
        </is>
      </c>
      <c r="C20" t="inlineStr">
        <is>
          <t>≺</t>
        </is>
      </c>
      <c r="D20" t="inlineStr">
        <is>
          <t>K_t</t>
        </is>
      </c>
      <c r="E20" t="inlineStr">
        <is>
          <t>Semigroup</t>
        </is>
      </c>
      <c r="F20" t="inlineStr">
        <is>
          <t>K_t=e^{-tL}</t>
        </is>
      </c>
      <c r="G20" t="inlineStr">
        <is>
          <t>DERIVED</t>
        </is>
      </c>
      <c r="H20" t="inlineStr">
        <is>
          <t>Spectral</t>
        </is>
      </c>
    </row>
    <row r="21">
      <c r="A21" t="inlineStr">
        <is>
          <t>CL-016</t>
        </is>
      </c>
      <c r="B21" t="inlineStr">
        <is>
          <t>Spec(L)</t>
        </is>
      </c>
      <c r="C21" t="inlineStr">
        <is>
          <t>≺</t>
        </is>
      </c>
      <c r="D21" t="inlineStr">
        <is>
          <t>Z</t>
        </is>
      </c>
      <c r="E21" t="inlineStr">
        <is>
          <t>Statistical</t>
        </is>
      </c>
      <c r="F21" t="inlineStr">
        <is>
          <t>Z=Tr(e^{-βL})</t>
        </is>
      </c>
      <c r="G21" t="inlineStr">
        <is>
          <t>DERIVED</t>
        </is>
      </c>
      <c r="H21" t="inlineStr">
        <is>
          <t>Statistical</t>
        </is>
      </c>
    </row>
    <row r="22">
      <c r="A22" t="inlineStr">
        <is>
          <t>CL-017</t>
        </is>
      </c>
      <c r="B22" t="inlineStr">
        <is>
          <t>Z</t>
        </is>
      </c>
      <c r="C22" t="inlineStr">
        <is>
          <t>≺</t>
        </is>
      </c>
      <c r="D22" t="inlineStr">
        <is>
          <t>F</t>
        </is>
      </c>
      <c r="E22" t="inlineStr">
        <is>
          <t>Thermodynamic</t>
        </is>
      </c>
      <c r="F22" t="inlineStr">
        <is>
          <t>F=-k_BT ln Z</t>
        </is>
      </c>
      <c r="G22" t="inlineStr">
        <is>
          <t>DERIVED</t>
        </is>
      </c>
      <c r="H22" t="inlineStr">
        <is>
          <t>Thermodynamic</t>
        </is>
      </c>
    </row>
    <row r="23">
      <c r="A23" t="inlineStr">
        <is>
          <t>CL-018</t>
        </is>
      </c>
      <c r="B23" t="inlineStr">
        <is>
          <t>Spec(L)</t>
        </is>
      </c>
      <c r="C23" t="inlineStr">
        <is>
          <t>≺</t>
        </is>
      </c>
      <c r="D23" t="inlineStr">
        <is>
          <t>Π</t>
        </is>
      </c>
      <c r="E23" t="inlineStr">
        <is>
          <t>Persistence</t>
        </is>
      </c>
      <c r="F23" t="inlineStr">
        <is>
          <t>Π=span{φ_n:λ_n&lt;λ_c}</t>
        </is>
      </c>
      <c r="G23" t="inlineStr">
        <is>
          <t>DERIVED</t>
        </is>
      </c>
      <c r="H23" t="inlineStr">
        <is>
          <t>Persistence</t>
        </is>
      </c>
    </row>
    <row r="24">
      <c r="A24" t="inlineStr">
        <is>
          <t>CL-019</t>
        </is>
      </c>
      <c r="B24" t="inlineStr">
        <is>
          <t>Π</t>
        </is>
      </c>
      <c r="C24" t="inlineStr">
        <is>
          <t>≺</t>
        </is>
      </c>
      <c r="D24" t="inlineStr">
        <is>
          <t>d</t>
        </is>
      </c>
      <c r="E24" t="inlineStr">
        <is>
          <t>Geometry</t>
        </is>
      </c>
      <c r="F24" t="inlineStr">
        <is>
          <t>Spectral/relational distance</t>
        </is>
      </c>
      <c r="G24" t="inlineStr">
        <is>
          <t>DERIVED</t>
        </is>
      </c>
      <c r="H24" t="inlineStr">
        <is>
          <t>Geometry</t>
        </is>
      </c>
    </row>
    <row r="25">
      <c r="A25" t="inlineStr">
        <is>
          <t>CL-020</t>
        </is>
      </c>
      <c r="B25" t="inlineStr">
        <is>
          <t>d</t>
        </is>
      </c>
      <c r="C25" t="inlineStr">
        <is>
          <t>≺</t>
        </is>
      </c>
      <c r="D25" t="inlineStr">
        <is>
          <t>g_{μν}</t>
        </is>
      </c>
      <c r="E25" t="inlineStr">
        <is>
          <t>Geometry</t>
        </is>
      </c>
      <c r="F25" t="inlineStr">
        <is>
          <t>Metric representation</t>
        </is>
      </c>
      <c r="G25" t="inlineStr">
        <is>
          <t>DERIVED</t>
        </is>
      </c>
      <c r="H25" t="inlineStr">
        <is>
          <t>Geometry</t>
        </is>
      </c>
    </row>
    <row r="26">
      <c r="A26" t="inlineStr">
        <is>
          <t>CL-021</t>
        </is>
      </c>
      <c r="B26" t="inlineStr">
        <is>
          <t>g_{μν}</t>
        </is>
      </c>
      <c r="C26" t="inlineStr">
        <is>
          <t>≺</t>
        </is>
      </c>
      <c r="D26" t="inlineStr">
        <is>
          <t>∇</t>
        </is>
      </c>
      <c r="E26" t="inlineStr">
        <is>
          <t>Connection</t>
        </is>
      </c>
      <c r="F26" t="inlineStr">
        <is>
          <t>Levi-Civita connection</t>
        </is>
      </c>
      <c r="G26" t="inlineStr">
        <is>
          <t>DERIVED</t>
        </is>
      </c>
      <c r="H26" t="inlineStr">
        <is>
          <t>Geometry</t>
        </is>
      </c>
    </row>
    <row r="27">
      <c r="A27" t="inlineStr">
        <is>
          <t>CL-022</t>
        </is>
      </c>
      <c r="B27" t="inlineStr">
        <is>
          <t>∇</t>
        </is>
      </c>
      <c r="C27" t="inlineStr">
        <is>
          <t>≺</t>
        </is>
      </c>
      <c r="D27" t="inlineStr">
        <is>
          <t>R_{μν},R</t>
        </is>
      </c>
      <c r="E27" t="inlineStr">
        <is>
          <t>Curvature</t>
        </is>
      </c>
      <c r="F27" t="inlineStr">
        <is>
          <t>Riemann→Ricci→scalar</t>
        </is>
      </c>
      <c r="G27" t="inlineStr">
        <is>
          <t>DERIVED</t>
        </is>
      </c>
      <c r="H27" t="inlineStr">
        <is>
          <t>Geometry</t>
        </is>
      </c>
    </row>
    <row r="28">
      <c r="A28" t="inlineStr">
        <is>
          <t>CL-023</t>
        </is>
      </c>
      <c r="B28" t="inlineStr">
        <is>
          <t>R_{μν},R,g</t>
        </is>
      </c>
      <c r="C28" t="inlineStr">
        <is>
          <t>≺</t>
        </is>
      </c>
      <c r="D28" t="inlineStr">
        <is>
          <t>G_{μν}</t>
        </is>
      </c>
      <c r="E28" t="inlineStr">
        <is>
          <t>Field</t>
        </is>
      </c>
      <c r="F28" t="inlineStr">
        <is>
          <t>G_{μν}=R_{μν}-1/2Rg_{μν}</t>
        </is>
      </c>
      <c r="G28" t="inlineStr">
        <is>
          <t>DERIVED</t>
        </is>
      </c>
      <c r="H28" t="inlineStr">
        <is>
          <t>Physics</t>
        </is>
      </c>
    </row>
    <row r="29">
      <c r="A29" t="inlineStr">
        <is>
          <t>CL-024</t>
        </is>
      </c>
      <c r="B29" t="inlineStr">
        <is>
          <t>G_{μν}</t>
        </is>
      </c>
      <c r="C29" t="inlineStr">
        <is>
          <t>≺</t>
        </is>
      </c>
      <c r="D29" t="inlineStr">
        <is>
          <t>T_{μν}</t>
        </is>
      </c>
      <c r="E29" t="inlineStr">
        <is>
          <t>Physics</t>
        </is>
      </c>
      <c r="F29" t="inlineStr">
        <is>
          <t>Field-equation coupling</t>
        </is>
      </c>
      <c r="G29" t="inlineStr">
        <is>
          <t>DERIVED</t>
        </is>
      </c>
      <c r="H29" t="inlineStr">
        <is>
          <t>Physics</t>
        </is>
      </c>
    </row>
    <row r="30">
      <c r="A30" t="inlineStr">
        <is>
          <t>CL-025</t>
        </is>
      </c>
      <c r="B30" t="inlineStr">
        <is>
          <t>G_{μν},g,T</t>
        </is>
      </c>
      <c r="C30" t="inlineStr">
        <is>
          <t>≺</t>
        </is>
      </c>
      <c r="D30" t="inlineStr">
        <is>
          <t>Einstein equation</t>
        </is>
      </c>
      <c r="E30" t="inlineStr">
        <is>
          <t>Physics</t>
        </is>
      </c>
      <c r="F30" t="inlineStr">
        <is>
          <t>G+Λg=αT</t>
        </is>
      </c>
      <c r="G30" t="inlineStr">
        <is>
          <t>DERIVED</t>
        </is>
      </c>
      <c r="H30" t="inlineStr">
        <is>
          <t>Physics</t>
        </is>
      </c>
    </row>
    <row r="31">
      <c r="A31" t="inlineStr">
        <is>
          <t>CL-026</t>
        </is>
      </c>
      <c r="B31" t="inlineStr">
        <is>
          <t>Action S</t>
        </is>
      </c>
      <c r="C31" t="inlineStr">
        <is>
          <t>≺</t>
        </is>
      </c>
      <c r="D31" t="inlineStr">
        <is>
          <t>Euler–Lagrange</t>
        </is>
      </c>
      <c r="E31" t="inlineStr">
        <is>
          <t>Variational</t>
        </is>
      </c>
      <c r="F31" t="inlineStr">
        <is>
          <t>δS=0</t>
        </is>
      </c>
      <c r="G31" t="inlineStr">
        <is>
          <t>DERIVED</t>
        </is>
      </c>
      <c r="H31" t="inlineStr">
        <is>
          <t>Variational</t>
        </is>
      </c>
    </row>
    <row r="32">
      <c r="A32" t="inlineStr">
        <is>
          <t>CL-027</t>
        </is>
      </c>
      <c r="B32" t="inlineStr">
        <is>
          <t>Euler–Lagrange</t>
        </is>
      </c>
      <c r="C32" t="inlineStr">
        <is>
          <t>≺</t>
        </is>
      </c>
      <c r="D32" t="inlineStr">
        <is>
          <t>Hamiltonian/Lagrangian dynamics</t>
        </is>
      </c>
      <c r="E32" t="inlineStr">
        <is>
          <t>Dynamics</t>
        </is>
      </c>
      <c r="F32" t="inlineStr">
        <is>
          <t>Equivalent dynamical formulations</t>
        </is>
      </c>
      <c r="G32" t="inlineStr">
        <is>
          <t>DERIVED</t>
        </is>
      </c>
      <c r="H32" t="inlineStr">
        <is>
          <t>Variational</t>
        </is>
      </c>
    </row>
    <row r="33">
      <c r="A33" t="inlineStr">
        <is>
          <t>CL-028</t>
        </is>
      </c>
      <c r="B33" t="inlineStr">
        <is>
          <t>L</t>
        </is>
      </c>
      <c r="C33" t="inlineStr">
        <is>
          <t>≺</t>
        </is>
      </c>
      <c r="D33" t="inlineStr">
        <is>
          <t>𝒟^2</t>
        </is>
      </c>
      <c r="E33" t="inlineStr">
        <is>
          <t>Quantum</t>
        </is>
      </c>
      <c r="F33" t="inlineStr">
        <is>
          <t>𝒟^2=L⊗I_spin</t>
        </is>
      </c>
      <c r="G33" t="inlineStr">
        <is>
          <t>DERIVED</t>
        </is>
      </c>
      <c r="H33" t="inlineStr">
        <is>
          <t>Quantum</t>
        </is>
      </c>
    </row>
    <row r="34">
      <c r="A34" t="inlineStr">
        <is>
          <t>CL-029</t>
        </is>
      </c>
      <c r="B34" t="inlineStr">
        <is>
          <t>𝒟</t>
        </is>
      </c>
      <c r="C34" t="inlineStr">
        <is>
          <t>≺</t>
        </is>
      </c>
      <c r="D34" t="inlineStr">
        <is>
          <t>Spectral action</t>
        </is>
      </c>
      <c r="E34" t="inlineStr">
        <is>
          <t>NCG</t>
        </is>
      </c>
      <c r="F34" t="inlineStr">
        <is>
          <t>𝒱_O=Tr f(𝒟²/Λ²)</t>
        </is>
      </c>
      <c r="G34" t="inlineStr">
        <is>
          <t>DERIVED</t>
        </is>
      </c>
      <c r="H34" t="inlineStr">
        <is>
          <t>NCG</t>
        </is>
      </c>
    </row>
    <row r="35">
      <c r="A35" t="inlineStr">
        <is>
          <t>CL-030</t>
        </is>
      </c>
      <c r="B35" t="inlineStr">
        <is>
          <t>Finite algebra</t>
        </is>
      </c>
      <c r="C35" t="inlineStr">
        <is>
          <t>≺</t>
        </is>
      </c>
      <c r="D35" t="inlineStr">
        <is>
          <t>Representation</t>
        </is>
      </c>
      <c r="E35" t="inlineStr">
        <is>
          <t>NCG</t>
        </is>
      </c>
      <c r="F35" t="inlineStr">
        <is>
          <t>π:A→End(H_F)</t>
        </is>
      </c>
      <c r="G35" t="inlineStr">
        <is>
          <t>DERIVED</t>
        </is>
      </c>
      <c r="H35" t="inlineStr">
        <is>
          <t>NCG</t>
        </is>
      </c>
    </row>
    <row r="36">
      <c r="A36" t="inlineStr">
        <is>
          <t>CL-031</t>
        </is>
      </c>
      <c r="B36" t="inlineStr">
        <is>
          <t>Representation</t>
        </is>
      </c>
      <c r="C36" t="inlineStr">
        <is>
          <t>≺</t>
        </is>
      </c>
      <c r="D36" t="inlineStr">
        <is>
          <t>J_F,γ_F,D_F</t>
        </is>
      </c>
      <c r="E36" t="inlineStr">
        <is>
          <t>NCG</t>
        </is>
      </c>
      <c r="F36" t="inlineStr">
        <is>
          <t>Finite spectral-triple data</t>
        </is>
      </c>
      <c r="G36" t="inlineStr">
        <is>
          <t>DERIVED</t>
        </is>
      </c>
      <c r="H36" t="inlineStr">
        <is>
          <t>NCG</t>
        </is>
      </c>
    </row>
    <row r="37">
      <c r="A37" t="inlineStr">
        <is>
          <t>CL-032</t>
        </is>
      </c>
      <c r="B37" t="inlineStr">
        <is>
          <t>D_F,J_F,γ_F</t>
        </is>
      </c>
      <c r="C37" t="inlineStr">
        <is>
          <t>≺</t>
        </is>
      </c>
      <c r="D37" t="inlineStr">
        <is>
          <t>KO compatibility</t>
        </is>
      </c>
      <c r="E37" t="inlineStr">
        <is>
          <t>NCG</t>
        </is>
      </c>
      <c r="F37" t="inlineStr">
        <is>
          <t>J², JD, {D,γ}</t>
        </is>
      </c>
      <c r="G37" t="inlineStr">
        <is>
          <t>DERIVED</t>
        </is>
      </c>
      <c r="H37" t="inlineStr">
        <is>
          <t>NCG</t>
        </is>
      </c>
    </row>
    <row r="38">
      <c r="A38" t="inlineStr">
        <is>
          <t>CL-033</t>
        </is>
      </c>
      <c r="B38" t="inlineStr">
        <is>
          <t>Representation</t>
        </is>
      </c>
      <c r="C38" t="inlineStr">
        <is>
          <t>≺</t>
        </is>
      </c>
      <c r="D38" t="inlineStr">
        <is>
          <t>G_SM</t>
        </is>
      </c>
      <c r="E38" t="inlineStr">
        <is>
          <t>Gauge</t>
        </is>
      </c>
      <c r="F38" t="inlineStr">
        <is>
          <t>Gauge group from finite representation</t>
        </is>
      </c>
      <c r="G38" t="inlineStr">
        <is>
          <t>VERIFIED</t>
        </is>
      </c>
      <c r="H38" t="inlineStr">
        <is>
          <t>NCG/Gauge</t>
        </is>
      </c>
      <c r="I38" t="inlineStr">
        <is>
          <t>Prior project result.</t>
        </is>
      </c>
    </row>
    <row r="39">
      <c r="A39" t="inlineStr">
        <is>
          <t>CL-034</t>
        </is>
      </c>
      <c r="B39" t="inlineStr">
        <is>
          <t>D_F</t>
        </is>
      </c>
      <c r="C39" t="inlineStr">
        <is>
          <t>≺</t>
        </is>
      </c>
      <c r="D39" t="inlineStr">
        <is>
          <t>Y_u,Y_d,Y_e,Y_ν</t>
        </is>
      </c>
      <c r="E39" t="inlineStr">
        <is>
          <t>Matter</t>
        </is>
      </c>
      <c r="F39" t="inlineStr">
        <is>
          <t>Finite Dirac/Yukawa structure</t>
        </is>
      </c>
      <c r="G39" t="inlineStr">
        <is>
          <t>DERIVED</t>
        </is>
      </c>
      <c r="H39" t="inlineStr">
        <is>
          <t>Matter</t>
        </is>
      </c>
    </row>
    <row r="40">
      <c r="A40" t="inlineStr">
        <is>
          <t>CL-035</t>
        </is>
      </c>
      <c r="B40" t="inlineStr">
        <is>
          <t>Y_u,Y_d</t>
        </is>
      </c>
      <c r="C40" t="inlineStr">
        <is>
          <t>≺</t>
        </is>
      </c>
      <c r="D40" t="inlineStr">
        <is>
          <t>V_CKM</t>
        </is>
      </c>
      <c r="E40" t="inlineStr">
        <is>
          <t>Flavor</t>
        </is>
      </c>
      <c r="F40" t="inlineStr">
        <is>
          <t>U_{u,L}†U_{d,L}</t>
        </is>
      </c>
      <c r="G40" t="inlineStr">
        <is>
          <t>DERIVED</t>
        </is>
      </c>
      <c r="H40" t="inlineStr">
        <is>
          <t>Flavor</t>
        </is>
      </c>
    </row>
    <row r="41">
      <c r="A41" t="inlineStr">
        <is>
          <t>CL-036</t>
        </is>
      </c>
      <c r="B41" t="inlineStr">
        <is>
          <t>Y_e,Y_ν</t>
        </is>
      </c>
      <c r="C41" t="inlineStr">
        <is>
          <t>≺</t>
        </is>
      </c>
      <c r="D41" t="inlineStr">
        <is>
          <t>U_PMNS</t>
        </is>
      </c>
      <c r="E41" t="inlineStr">
        <is>
          <t>Flavor</t>
        </is>
      </c>
      <c r="F41" t="inlineStr">
        <is>
          <t>U_{e,L}†U_{ν,L}</t>
        </is>
      </c>
      <c r="G41" t="inlineStr">
        <is>
          <t>DERIVED</t>
        </is>
      </c>
      <c r="H41" t="inlineStr">
        <is>
          <t>Flavor</t>
        </is>
      </c>
    </row>
    <row r="42">
      <c r="A42" t="inlineStr">
        <is>
          <t>CL-037</t>
        </is>
      </c>
      <c r="B42" t="inlineStr">
        <is>
          <t>Finite representation</t>
        </is>
      </c>
      <c r="C42" t="inlineStr">
        <is>
          <t>≺</t>
        </is>
      </c>
      <c r="D42" t="inlineStr">
        <is>
          <t>Continuum</t>
        </is>
      </c>
      <c r="E42" t="inlineStr">
        <is>
          <t>Continuum</t>
        </is>
      </c>
      <c r="F42" t="inlineStr">
        <is>
          <t>Discrete→continuum realization</t>
        </is>
      </c>
      <c r="G42" t="inlineStr">
        <is>
          <t>DERIVED</t>
        </is>
      </c>
      <c r="H42" t="inlineStr">
        <is>
          <t>Continuum</t>
        </is>
      </c>
    </row>
    <row r="43">
      <c r="A43" t="inlineStr">
        <is>
          <t>CL-038</t>
        </is>
      </c>
      <c r="B43" t="inlineStr">
        <is>
          <t>Continuum</t>
        </is>
      </c>
      <c r="C43" t="inlineStr">
        <is>
          <t>≺</t>
        </is>
      </c>
      <c r="D43" t="inlineStr">
        <is>
          <t>YM</t>
        </is>
      </c>
      <c r="E43" t="inlineStr">
        <is>
          <t>Gauge field</t>
        </is>
      </c>
      <c r="F43" t="inlineStr">
        <is>
          <t>Gauge/continuum recovery</t>
        </is>
      </c>
      <c r="G43" t="inlineStr">
        <is>
          <t>DERIVED</t>
        </is>
      </c>
      <c r="H43" t="inlineStr">
        <is>
          <t>Gauge</t>
        </is>
      </c>
    </row>
    <row r="44">
      <c r="A44" t="inlineStr">
        <is>
          <t>CL-039</t>
        </is>
      </c>
      <c r="B44" t="inlineStr">
        <is>
          <t>Representation</t>
        </is>
      </c>
      <c r="C44" t="inlineStr">
        <is>
          <t>≺</t>
        </is>
      </c>
      <c r="D44" t="inlineStr">
        <is>
          <t>Scale</t>
        </is>
      </c>
      <c r="E44" t="inlineStr">
        <is>
          <t>Scale</t>
        </is>
      </c>
      <c r="F44" t="inlineStr">
        <is>
          <t>Representation→β-function coefficient→transmutation</t>
        </is>
      </c>
      <c r="G44" t="inlineStr">
        <is>
          <t>DERIVED</t>
        </is>
      </c>
      <c r="H44" t="inlineStr">
        <is>
          <t>Scale</t>
        </is>
      </c>
    </row>
    <row r="45">
      <c r="A45" t="inlineStr">
        <is>
          <t>CL-040</t>
        </is>
      </c>
      <c r="B45" t="inlineStr">
        <is>
          <t>Γ</t>
        </is>
      </c>
      <c r="C45" t="inlineStr">
        <is>
          <t>≺</t>
        </is>
      </c>
      <c r="D45" t="inlineStr">
        <is>
          <t>Rosetta map ℛ_α</t>
        </is>
      </c>
      <c r="E45" t="inlineStr">
        <is>
          <t>Translation</t>
        </is>
      </c>
      <c r="F45" t="inlineStr">
        <is>
          <t>Domain→UOC</t>
        </is>
      </c>
      <c r="G45" t="inlineStr">
        <is>
          <t>DERIVED</t>
        </is>
      </c>
      <c r="H45" t="inlineStr">
        <is>
          <t>Rosetta</t>
        </is>
      </c>
    </row>
    <row r="46">
      <c r="A46" t="inlineStr">
        <is>
          <t>CL-041</t>
        </is>
      </c>
      <c r="B46" t="inlineStr">
        <is>
          <t>ℛ_α</t>
        </is>
      </c>
      <c r="C46" t="inlineStr">
        <is>
          <t>≺</t>
        </is>
      </c>
      <c r="D46" t="inlineStr">
        <is>
          <t>Domain reconstruction</t>
        </is>
      </c>
      <c r="E46" t="inlineStr">
        <is>
          <t>Translation</t>
        </is>
      </c>
      <c r="F46" t="inlineStr">
        <is>
          <t>UOC→domain</t>
        </is>
      </c>
      <c r="G46" t="inlineStr">
        <is>
          <t>DERIVED</t>
        </is>
      </c>
      <c r="H46" t="inlineStr">
        <is>
          <t>Rosetta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tabColor rgb="002B7A78"/>
    <outlinePr summaryBelow="1" summaryRight="1"/>
    <pageSetUpPr/>
  </sheetPr>
  <dimension ref="A1:H17"/>
  <sheetViews>
    <sheetView showGridLines="0" zoomScale="90" workbookViewId="0">
      <pane ySplit="3" topLeftCell="A4" activePane="bottomLeft" state="frozen"/>
      <selection pane="bottomLeft" activeCell="A1" sqref="A1"/>
    </sheetView>
  </sheetViews>
  <sheetFormatPr baseColWidth="8" defaultRowHeight="15"/>
  <cols>
    <col width="22" customWidth="1" min="1" max="1"/>
    <col width="48" customWidth="1" min="2" max="2"/>
    <col width="72" customWidth="1" min="3" max="3"/>
    <col width="30" customWidth="1" min="4" max="4"/>
    <col width="28" customWidth="1" min="5" max="5"/>
    <col width="28" customWidth="1" min="6" max="6"/>
    <col width="48" customWidth="1" min="7" max="7"/>
    <col width="48" customWidth="1" min="8" max="8"/>
  </cols>
  <sheetData>
    <row r="1" ht="32" customHeight="1">
      <c r="A1" s="9" t="inlineStr">
        <is>
          <t>CERTIFIED RECOVERY CHAINS</t>
        </is>
      </c>
    </row>
    <row r="2" ht="34" customHeight="1">
      <c r="A2" s="10" t="inlineStr">
        <is>
          <t>Branch-level derivation chains retained in canonical MDCL order.</t>
        </is>
      </c>
    </row>
    <row r="5" ht="28" customHeight="1">
      <c r="A5" s="11" t="inlineStr">
        <is>
          <t>Branch</t>
        </is>
      </c>
      <c r="B5" s="11" t="inlineStr">
        <is>
          <t>Chain ID</t>
        </is>
      </c>
      <c r="C5" s="11" t="inlineStr">
        <is>
          <t>Canonical chain</t>
        </is>
      </c>
      <c r="D5" s="11" t="inlineStr">
        <is>
          <t>Key equation(s)</t>
        </is>
      </c>
      <c r="E5" s="11" t="inlineStr">
        <is>
          <t>Status</t>
        </is>
      </c>
      <c r="F5" s="11" t="inlineStr">
        <is>
          <t>Dependency class</t>
        </is>
      </c>
      <c r="G5" s="11" t="inlineStr">
        <is>
          <t>Start</t>
        </is>
      </c>
      <c r="H5" s="11" t="inlineStr">
        <is>
          <t>End</t>
        </is>
      </c>
    </row>
    <row r="6">
      <c r="A6" t="inlineStr">
        <is>
          <t>Foundation</t>
        </is>
      </c>
      <c r="B6" t="inlineStr">
        <is>
          <t>FND-001</t>
        </is>
      </c>
      <c r="C6" t="inlineStr">
        <is>
          <t>Existence ≺ P ≺ {D,T,C} ≺ Γ</t>
        </is>
      </c>
      <c r="D6" t="inlineStr">
        <is>
          <t>Γ=C∘T∘D</t>
        </is>
      </c>
      <c r="E6" t="inlineStr">
        <is>
          <t>DERIVED</t>
        </is>
      </c>
      <c r="F6" t="inlineStr">
        <is>
          <t>Primitive</t>
        </is>
      </c>
      <c r="G6" t="inlineStr">
        <is>
          <t>Existence</t>
        </is>
      </c>
      <c r="H6" t="inlineStr">
        <is>
          <t>Grammar</t>
        </is>
      </c>
    </row>
    <row r="7">
      <c r="A7" t="inlineStr">
        <is>
          <t>Organization</t>
        </is>
      </c>
      <c r="B7" t="inlineStr">
        <is>
          <t>ORG-001</t>
        </is>
      </c>
      <c r="C7" t="inlineStr">
        <is>
          <t>Γ ≺ Ψ ≺ Ψ*</t>
        </is>
      </c>
      <c r="D7" t="inlineStr">
        <is>
          <t>Ψ_{t+1}=Γ(Ψ_t), Ψ*=Γ(Ψ*)</t>
        </is>
      </c>
      <c r="E7" t="inlineStr">
        <is>
          <t>DERIVED</t>
        </is>
      </c>
      <c r="F7" t="inlineStr">
        <is>
          <t>Fixed point</t>
        </is>
      </c>
      <c r="G7" t="inlineStr">
        <is>
          <t>Grammar</t>
        </is>
      </c>
      <c r="H7" t="inlineStr">
        <is>
          <t>Equilibrium</t>
        </is>
      </c>
    </row>
    <row r="8">
      <c r="A8" t="inlineStr">
        <is>
          <t>Mathematical</t>
        </is>
      </c>
      <c r="B8" t="inlineStr">
        <is>
          <t>MAT-001</t>
        </is>
      </c>
      <c r="C8" t="inlineStr">
        <is>
          <t>Δ ≺ Γ ≺ G ≺ L ≺ Spec(L) ≺ g ≺ ∇ ≺ R ≺ I ≺ S ≺ δS</t>
        </is>
      </c>
      <c r="D8" t="inlineStr">
        <is>
          <t>L=D-A; Lφ=λφ; geometric chain</t>
        </is>
      </c>
      <c r="E8" t="inlineStr">
        <is>
          <t>DERIVED</t>
        </is>
      </c>
      <c r="F8" t="inlineStr">
        <is>
          <t>Geometry</t>
        </is>
      </c>
      <c r="G8" t="inlineStr">
        <is>
          <t>Primitive</t>
        </is>
      </c>
      <c r="H8" t="inlineStr">
        <is>
          <t>Variational</t>
        </is>
      </c>
    </row>
    <row r="9">
      <c r="A9" t="inlineStr">
        <is>
          <t>Physical</t>
        </is>
      </c>
      <c r="B9" t="inlineStr">
        <is>
          <t>PRC-001</t>
        </is>
      </c>
      <c r="C9" t="inlineStr">
        <is>
          <t>G_{μν} ≺ ∇^μG_{μν}=0 ≺ T_{μν} ≺ ∇^μT_{μν}=0 ≺ G+Λg=αT</t>
        </is>
      </c>
      <c r="D9" t="inlineStr">
        <is>
          <t>Einstein field representation</t>
        </is>
      </c>
      <c r="E9" t="inlineStr">
        <is>
          <t>DERIVED</t>
        </is>
      </c>
      <c r="F9" t="inlineStr">
        <is>
          <t>Field</t>
        </is>
      </c>
      <c r="G9" t="inlineStr">
        <is>
          <t>Geometry</t>
        </is>
      </c>
      <c r="H9" t="inlineStr">
        <is>
          <t>Conservation</t>
        </is>
      </c>
    </row>
    <row r="10">
      <c r="A10" t="inlineStr">
        <is>
          <t>Statistical</t>
        </is>
      </c>
      <c r="B10" t="inlineStr">
        <is>
          <t>SRC-001</t>
        </is>
      </c>
      <c r="C10" t="inlineStr">
        <is>
          <t>Ω,F ≺ μ ≺ P ≺ X ≺ E[X] ≺ Var(X) ≺ H(P) ≺ Z ≺ F ≺ PDE ≺ L ≺ Spec(L)</t>
        </is>
      </c>
      <c r="D10" t="inlineStr">
        <is>
          <t>Information/statistical recovery</t>
        </is>
      </c>
      <c r="E10" t="inlineStr">
        <is>
          <t>DERIVED</t>
        </is>
      </c>
      <c r="F10" t="inlineStr">
        <is>
          <t>Statistics</t>
        </is>
      </c>
      <c r="G10" t="inlineStr">
        <is>
          <t>Ensemble</t>
        </is>
      </c>
      <c r="H10" t="inlineStr">
        <is>
          <t>Geometry</t>
        </is>
      </c>
    </row>
    <row r="11">
      <c r="A11" t="inlineStr">
        <is>
          <t>Statistical</t>
        </is>
      </c>
      <c r="B11" t="inlineStr">
        <is>
          <t>SRC-002</t>
        </is>
      </c>
      <c r="C11" t="inlineStr">
        <is>
          <t>Spec gap ≺ τ_relax ≺ mutual information ≺ KL ≺ Fisher ≺ Fisher–Rao ≺ ∇ ≺ R ≺ Ricci ≺ scalar ≺ Einstein</t>
        </is>
      </c>
      <c r="D11" t="inlineStr">
        <is>
          <t>Information geometry recovery</t>
        </is>
      </c>
      <c r="E11" t="inlineStr">
        <is>
          <t>DERIVED</t>
        </is>
      </c>
      <c r="F11" t="inlineStr">
        <is>
          <t>Information geometry</t>
        </is>
      </c>
      <c r="G11" t="inlineStr">
        <is>
          <t>Spectrum</t>
        </is>
      </c>
      <c r="H11" t="inlineStr">
        <is>
          <t>Einstein tensor</t>
        </is>
      </c>
    </row>
    <row r="12">
      <c r="A12" t="inlineStr">
        <is>
          <t>Quantum</t>
        </is>
      </c>
      <c r="B12" t="inlineStr">
        <is>
          <t>QRC-001</t>
        </is>
      </c>
      <c r="C12" t="inlineStr">
        <is>
          <t>L ≺ 𝒟² ≺ Hamiltonian/Lagrangian ≺ Schrödinger ≺ Dirac ≺ Maxwell ≺ Yang–Mills</t>
        </is>
      </c>
      <c r="D12" t="inlineStr">
        <is>
          <t>Quantum/field recovery chain</t>
        </is>
      </c>
      <c r="E12" t="inlineStr">
        <is>
          <t>DERIVED</t>
        </is>
      </c>
      <c r="F12" t="inlineStr">
        <is>
          <t>Quantum</t>
        </is>
      </c>
      <c r="G12" t="inlineStr">
        <is>
          <t>Spectral</t>
        </is>
      </c>
      <c r="H12" t="inlineStr">
        <is>
          <t>Gauge field</t>
        </is>
      </c>
    </row>
    <row r="13">
      <c r="A13" t="inlineStr">
        <is>
          <t>Thermodynamic</t>
        </is>
      </c>
      <c r="B13" t="inlineStr">
        <is>
          <t>TRC-001</t>
        </is>
      </c>
      <c r="C13" t="inlineStr">
        <is>
          <t>E,ρ,u ≺ e ≺ entropy current ≺ Clausius–Duhem ≺ q^μ</t>
        </is>
      </c>
      <c r="D13" t="inlineStr">
        <is>
          <t>Thermodynamic recovery</t>
        </is>
      </c>
      <c r="E13" t="inlineStr">
        <is>
          <t>VERIFIED</t>
        </is>
      </c>
      <c r="F13" t="inlineStr">
        <is>
          <t>Thermodynamic</t>
        </is>
      </c>
      <c r="G13" t="inlineStr">
        <is>
          <t>State</t>
        </is>
      </c>
      <c r="H13" t="inlineStr">
        <is>
          <t>Transport</t>
        </is>
      </c>
    </row>
    <row r="14">
      <c r="A14" t="inlineStr">
        <is>
          <t>Gauge</t>
        </is>
      </c>
      <c r="B14" t="inlineStr">
        <is>
          <t>GRC-001</t>
        </is>
      </c>
      <c r="C14" t="inlineStr">
        <is>
          <t>Representation ≺ D_μ ≺ F_{μν} ≺ gauge dynamics</t>
        </is>
      </c>
      <c r="D14" t="inlineStr">
        <is>
          <t>Gauge-covariant branch</t>
        </is>
      </c>
      <c r="E14" t="inlineStr">
        <is>
          <t>DERIVED</t>
        </is>
      </c>
      <c r="F14" t="inlineStr">
        <is>
          <t>Gauge</t>
        </is>
      </c>
      <c r="G14" t="inlineStr">
        <is>
          <t>Representation</t>
        </is>
      </c>
      <c r="H14" t="inlineStr">
        <is>
          <t>Field</t>
        </is>
      </c>
    </row>
    <row r="15">
      <c r="A15" t="inlineStr">
        <is>
          <t>NCG</t>
        </is>
      </c>
      <c r="B15" t="inlineStr">
        <is>
          <t>NCG-001</t>
        </is>
      </c>
      <c r="C15" t="inlineStr">
        <is>
          <t>A ≺ π ≺ H_F ≺ D_F,J_F,γ_F ≺ KO ≺ Poincaré duality ≺ orientability</t>
        </is>
      </c>
      <c r="D15" t="inlineStr">
        <is>
          <t>Finite spectral triple closure chain</t>
        </is>
      </c>
      <c r="E15" t="inlineStr">
        <is>
          <t>DERIVED</t>
        </is>
      </c>
      <c r="F15" t="inlineStr">
        <is>
          <t>NCG</t>
        </is>
      </c>
      <c r="G15" t="inlineStr">
        <is>
          <t>Algebra</t>
        </is>
      </c>
      <c r="H15" t="inlineStr">
        <is>
          <t>Finite geometry</t>
        </is>
      </c>
    </row>
    <row r="16">
      <c r="A16" t="inlineStr">
        <is>
          <t>Matter</t>
        </is>
      </c>
      <c r="B16" t="inlineStr">
        <is>
          <t>MATTER-001</t>
        </is>
      </c>
      <c r="C16" t="inlineStr">
        <is>
          <t>D_F ≺ Y_u,Y_d,Y_e,Y_ν ≺ CKM,PMNS</t>
        </is>
      </c>
      <c r="D16" t="inlineStr">
        <is>
          <t>Matter/flavor realization</t>
        </is>
      </c>
      <c r="E16" t="inlineStr">
        <is>
          <t>DERIVED</t>
        </is>
      </c>
      <c r="F16" t="inlineStr">
        <is>
          <t>Matter</t>
        </is>
      </c>
      <c r="G16" t="inlineStr">
        <is>
          <t>Finite Dirac</t>
        </is>
      </c>
      <c r="H16" t="inlineStr">
        <is>
          <t>Flavor</t>
        </is>
      </c>
    </row>
    <row r="17">
      <c r="A17" t="inlineStr">
        <is>
          <t>Rosetta</t>
        </is>
      </c>
      <c r="B17" t="inlineStr">
        <is>
          <t>URS-001</t>
        </is>
      </c>
      <c r="C17" t="inlineStr">
        <is>
          <t>Domain ≺ Canonicalize ≺ Γ ≺ UOC ≺ IR ≺ Domain representation</t>
        </is>
      </c>
      <c r="D17" t="inlineStr">
        <is>
          <t>Universal translation pipeline</t>
        </is>
      </c>
      <c r="E17" t="inlineStr">
        <is>
          <t>DERIVED</t>
        </is>
      </c>
      <c r="F17" t="inlineStr">
        <is>
          <t>Translation</t>
        </is>
      </c>
      <c r="G17" t="inlineStr">
        <is>
          <t>Domain</t>
        </is>
      </c>
      <c r="H17" t="inlineStr">
        <is>
          <t>Representation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tabColor rgb="0017233C"/>
    <outlinePr summaryBelow="1" summaryRight="1"/>
    <pageSetUpPr/>
  </sheetPr>
  <dimension ref="A1:H21"/>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50" customWidth="1" min="2" max="2"/>
    <col width="62" customWidth="1" min="3" max="3"/>
    <col width="46" customWidth="1" min="4" max="4"/>
    <col width="30" customWidth="1" min="5" max="5"/>
    <col width="30" customWidth="1" min="6" max="6"/>
    <col width="30" customWidth="1" min="7" max="7"/>
    <col width="52" customWidth="1" min="8" max="8"/>
  </cols>
  <sheetData>
    <row r="1" ht="32" customHeight="1">
      <c r="A1" s="9" t="inlineStr">
        <is>
          <t>PHYSICS MATHEMATICAL CORE</t>
        </is>
      </c>
    </row>
    <row r="2" ht="34" customHeight="1">
      <c r="A2" s="10" t="inlineStr">
        <is>
          <t>Dense equation chain from discrete organization through continuum geometry and field equations.</t>
        </is>
      </c>
    </row>
    <row r="5" ht="28" customHeight="1">
      <c r="A5" s="11" t="inlineStr">
        <is>
          <t>ID</t>
        </is>
      </c>
      <c r="B5" s="11" t="inlineStr">
        <is>
          <t>Stage</t>
        </is>
      </c>
      <c r="C5" s="11" t="inlineStr">
        <is>
          <t>Canonical equation</t>
        </is>
      </c>
      <c r="D5" s="11" t="inlineStr">
        <is>
          <t>Dependency</t>
        </is>
      </c>
      <c r="E5" s="11" t="inlineStr">
        <is>
          <t>Object recovered</t>
        </is>
      </c>
      <c r="F5" s="11" t="inlineStr">
        <is>
          <t>Status</t>
        </is>
      </c>
      <c r="G5" s="11" t="inlineStr">
        <is>
          <t>Representation</t>
        </is>
      </c>
      <c r="H5" s="11" t="inlineStr">
        <is>
          <t>Notes</t>
        </is>
      </c>
    </row>
    <row r="6">
      <c r="A6" t="inlineStr">
        <is>
          <t>PMC-001</t>
        </is>
      </c>
      <c r="B6" t="inlineStr">
        <is>
          <t>Graph</t>
        </is>
      </c>
      <c r="C6" t="inlineStr">
        <is>
          <t>G=(V,E)</t>
        </is>
      </c>
      <c r="D6" t="inlineStr">
        <is>
          <t>Organization</t>
        </is>
      </c>
      <c r="E6" t="inlineStr">
        <is>
          <t>Graph</t>
        </is>
      </c>
      <c r="F6" t="inlineStr">
        <is>
          <t>DERIVED</t>
        </is>
      </c>
      <c r="G6" t="inlineStr">
        <is>
          <t>Discrete</t>
        </is>
      </c>
    </row>
    <row r="7">
      <c r="A7" t="inlineStr">
        <is>
          <t>PMC-002</t>
        </is>
      </c>
      <c r="B7" t="inlineStr">
        <is>
          <t>Laplacian</t>
        </is>
      </c>
      <c r="C7" t="inlineStr">
        <is>
          <t>L=D-A</t>
        </is>
      </c>
      <c r="D7" t="inlineStr">
        <is>
          <t>G</t>
        </is>
      </c>
      <c r="E7" t="inlineStr">
        <is>
          <t>Operator</t>
        </is>
      </c>
      <c r="F7" t="inlineStr">
        <is>
          <t>DERIVED</t>
        </is>
      </c>
      <c r="G7" t="inlineStr">
        <is>
          <t>Discrete</t>
        </is>
      </c>
    </row>
    <row r="8">
      <c r="A8" t="inlineStr">
        <is>
          <t>PMC-003</t>
        </is>
      </c>
      <c r="B8" t="inlineStr">
        <is>
          <t>Incidence</t>
        </is>
      </c>
      <c r="C8" t="inlineStr">
        <is>
          <t>L=BBᵀ</t>
        </is>
      </c>
      <c r="D8" t="inlineStr">
        <is>
          <t>B</t>
        </is>
      </c>
      <c r="E8" t="inlineStr">
        <is>
          <t>Factorization</t>
        </is>
      </c>
      <c r="F8" t="inlineStr">
        <is>
          <t>CALCULATED</t>
        </is>
      </c>
      <c r="G8" t="inlineStr">
        <is>
          <t>Discrete</t>
        </is>
      </c>
    </row>
    <row r="9">
      <c r="A9" t="inlineStr">
        <is>
          <t>PMC-004</t>
        </is>
      </c>
      <c r="B9" t="inlineStr">
        <is>
          <t>Spectrum</t>
        </is>
      </c>
      <c r="C9" t="inlineStr">
        <is>
          <t>Lφ_i=λ_iφ_i</t>
        </is>
      </c>
      <c r="D9" t="inlineStr">
        <is>
          <t>L</t>
        </is>
      </c>
      <c r="E9" t="inlineStr">
        <is>
          <t>Modes</t>
        </is>
      </c>
      <c r="F9" t="inlineStr">
        <is>
          <t>DERIVED</t>
        </is>
      </c>
      <c r="G9" t="inlineStr">
        <is>
          <t>Spectral</t>
        </is>
      </c>
    </row>
    <row r="10">
      <c r="A10" t="inlineStr">
        <is>
          <t>PMC-005</t>
        </is>
      </c>
      <c r="B10" t="inlineStr">
        <is>
          <t>Heat</t>
        </is>
      </c>
      <c r="C10" t="inlineStr">
        <is>
          <t>K_t=e^{-tL}</t>
        </is>
      </c>
      <c r="D10" t="inlineStr">
        <is>
          <t>L</t>
        </is>
      </c>
      <c r="E10" t="inlineStr">
        <is>
          <t>Semigroup</t>
        </is>
      </c>
      <c r="F10" t="inlineStr">
        <is>
          <t>DERIVED</t>
        </is>
      </c>
      <c r="G10" t="inlineStr">
        <is>
          <t>Spectral</t>
        </is>
      </c>
    </row>
    <row r="11">
      <c r="A11" t="inlineStr">
        <is>
          <t>PMC-006</t>
        </is>
      </c>
      <c r="B11" t="inlineStr">
        <is>
          <t>Partition</t>
        </is>
      </c>
      <c r="C11" t="inlineStr">
        <is>
          <t>Z=Tr(e^{-βL})</t>
        </is>
      </c>
      <c r="D11" t="inlineStr">
        <is>
          <t>K_t</t>
        </is>
      </c>
      <c r="E11" t="inlineStr">
        <is>
          <t>Statistical state</t>
        </is>
      </c>
      <c r="F11" t="inlineStr">
        <is>
          <t>DERIVED</t>
        </is>
      </c>
      <c r="G11" t="inlineStr">
        <is>
          <t>Statistical</t>
        </is>
      </c>
    </row>
    <row r="12">
      <c r="A12" t="inlineStr">
        <is>
          <t>PMC-007</t>
        </is>
      </c>
      <c r="B12" t="inlineStr">
        <is>
          <t>Free energy</t>
        </is>
      </c>
      <c r="C12" t="inlineStr">
        <is>
          <t>F=-k_BT ln Z</t>
        </is>
      </c>
      <c r="D12" t="inlineStr">
        <is>
          <t>Z</t>
        </is>
      </c>
      <c r="E12" t="inlineStr">
        <is>
          <t>Thermodynamic potential</t>
        </is>
      </c>
      <c r="F12" t="inlineStr">
        <is>
          <t>DERIVED</t>
        </is>
      </c>
      <c r="G12" t="inlineStr">
        <is>
          <t>Thermodynamic</t>
        </is>
      </c>
    </row>
    <row r="13">
      <c r="A13" t="inlineStr">
        <is>
          <t>PMC-008</t>
        </is>
      </c>
      <c r="B13" t="inlineStr">
        <is>
          <t>Distance</t>
        </is>
      </c>
      <c r="C13" t="inlineStr">
        <is>
          <t>d(i,j)</t>
        </is>
      </c>
      <c r="D13" t="inlineStr">
        <is>
          <t>Π,Spec(L)</t>
        </is>
      </c>
      <c r="E13" t="inlineStr">
        <is>
          <t>Relational distance</t>
        </is>
      </c>
      <c r="F13" t="inlineStr">
        <is>
          <t>DERIVED</t>
        </is>
      </c>
      <c r="G13" t="inlineStr">
        <is>
          <t>Geometry</t>
        </is>
      </c>
    </row>
    <row r="14">
      <c r="A14" t="inlineStr">
        <is>
          <t>PMC-009</t>
        </is>
      </c>
      <c r="B14" t="inlineStr">
        <is>
          <t>Metric</t>
        </is>
      </c>
      <c r="C14" t="inlineStr">
        <is>
          <t>g_{μν}</t>
        </is>
      </c>
      <c r="D14" t="inlineStr">
        <is>
          <t>d</t>
        </is>
      </c>
      <c r="E14" t="inlineStr">
        <is>
          <t>Metric</t>
        </is>
      </c>
      <c r="F14" t="inlineStr">
        <is>
          <t>DERIVED</t>
        </is>
      </c>
      <c r="G14" t="inlineStr">
        <is>
          <t>Continuum</t>
        </is>
      </c>
    </row>
    <row r="15">
      <c r="A15" t="inlineStr">
        <is>
          <t>PMC-010</t>
        </is>
      </c>
      <c r="B15" t="inlineStr">
        <is>
          <t>Connection</t>
        </is>
      </c>
      <c r="C15" t="inlineStr">
        <is>
          <t>Γ^ρ_{μν}=1/2g^{ρσ}(...)</t>
        </is>
      </c>
      <c r="D15" t="inlineStr">
        <is>
          <t>g</t>
        </is>
      </c>
      <c r="E15" t="inlineStr">
        <is>
          <t>Levi-Civita connection</t>
        </is>
      </c>
      <c r="F15" t="inlineStr">
        <is>
          <t>DERIVED</t>
        </is>
      </c>
      <c r="G15" t="inlineStr">
        <is>
          <t>Continuum</t>
        </is>
      </c>
    </row>
    <row r="16">
      <c r="A16" t="inlineStr">
        <is>
          <t>PMC-011</t>
        </is>
      </c>
      <c r="B16" t="inlineStr">
        <is>
          <t>Riemann</t>
        </is>
      </c>
      <c r="C16" t="inlineStr">
        <is>
          <t>R^ρ_{ σμν}=...</t>
        </is>
      </c>
      <c r="D16" t="inlineStr">
        <is>
          <t>Γ</t>
        </is>
      </c>
      <c r="E16" t="inlineStr">
        <is>
          <t>Curvature</t>
        </is>
      </c>
      <c r="F16" t="inlineStr">
        <is>
          <t>DERIVED</t>
        </is>
      </c>
      <c r="G16" t="inlineStr">
        <is>
          <t>Continuum</t>
        </is>
      </c>
    </row>
    <row r="17">
      <c r="A17" t="inlineStr">
        <is>
          <t>PMC-012</t>
        </is>
      </c>
      <c r="B17" t="inlineStr">
        <is>
          <t>Ricci</t>
        </is>
      </c>
      <c r="C17" t="inlineStr">
        <is>
          <t>R_{μν}=R^ρ_{ μρν}</t>
        </is>
      </c>
      <c r="D17" t="inlineStr">
        <is>
          <t>Riemann</t>
        </is>
      </c>
      <c r="E17" t="inlineStr">
        <is>
          <t>Ricci</t>
        </is>
      </c>
      <c r="F17" t="inlineStr">
        <is>
          <t>DERIVED</t>
        </is>
      </c>
      <c r="G17" t="inlineStr">
        <is>
          <t>Continuum</t>
        </is>
      </c>
    </row>
    <row r="18">
      <c r="A18" t="inlineStr">
        <is>
          <t>PMC-013</t>
        </is>
      </c>
      <c r="B18" t="inlineStr">
        <is>
          <t>Scalar</t>
        </is>
      </c>
      <c r="C18" t="inlineStr">
        <is>
          <t>R=g^{μν}R_{μν}</t>
        </is>
      </c>
      <c r="D18" t="inlineStr">
        <is>
          <t>Ricci,g</t>
        </is>
      </c>
      <c r="E18" t="inlineStr">
        <is>
          <t>Scalar curvature</t>
        </is>
      </c>
      <c r="F18" t="inlineStr">
        <is>
          <t>DERIVED</t>
        </is>
      </c>
      <c r="G18" t="inlineStr">
        <is>
          <t>Continuum</t>
        </is>
      </c>
    </row>
    <row r="19">
      <c r="A19" t="inlineStr">
        <is>
          <t>PMC-014</t>
        </is>
      </c>
      <c r="B19" t="inlineStr">
        <is>
          <t>Einstein</t>
        </is>
      </c>
      <c r="C19" t="inlineStr">
        <is>
          <t>G_{μν}=R_{μν}-1/2Rg_{μν}</t>
        </is>
      </c>
      <c r="D19" t="inlineStr">
        <is>
          <t>R,Ricci,g</t>
        </is>
      </c>
      <c r="E19" t="inlineStr">
        <is>
          <t>Einstein tensor</t>
        </is>
      </c>
      <c r="F19" t="inlineStr">
        <is>
          <t>DERIVED</t>
        </is>
      </c>
      <c r="G19" t="inlineStr">
        <is>
          <t>Continuum</t>
        </is>
      </c>
    </row>
    <row r="20">
      <c r="A20" t="inlineStr">
        <is>
          <t>PMC-015</t>
        </is>
      </c>
      <c r="B20" t="inlineStr">
        <is>
          <t>Bianchi</t>
        </is>
      </c>
      <c r="C20" t="inlineStr">
        <is>
          <t>∇^μG_{μν}=0</t>
        </is>
      </c>
      <c r="D20" t="inlineStr">
        <is>
          <t>G</t>
        </is>
      </c>
      <c r="E20" t="inlineStr">
        <is>
          <t>Geometric conservation</t>
        </is>
      </c>
      <c r="F20" t="inlineStr">
        <is>
          <t>DERIVED</t>
        </is>
      </c>
      <c r="G20" t="inlineStr">
        <is>
          <t>Continuum</t>
        </is>
      </c>
    </row>
    <row r="21">
      <c r="A21" t="inlineStr">
        <is>
          <t>PMC-016</t>
        </is>
      </c>
      <c r="B21" t="inlineStr">
        <is>
          <t>Field</t>
        </is>
      </c>
      <c r="C21" t="inlineStr">
        <is>
          <t>G+Λg=αT</t>
        </is>
      </c>
      <c r="D21" t="inlineStr">
        <is>
          <t>G,g,T</t>
        </is>
      </c>
      <c r="E21" t="inlineStr">
        <is>
          <t>Field equation</t>
        </is>
      </c>
      <c r="F21" t="inlineStr">
        <is>
          <t>DERIVED</t>
        </is>
      </c>
      <c r="G21" t="inlineStr">
        <is>
          <t>Physics</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tabColor rgb="002B7A78"/>
    <outlinePr summaryBelow="1" summaryRight="1"/>
    <pageSetUpPr/>
  </sheetPr>
  <dimension ref="A1:H2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8" customWidth="1" min="2" max="2"/>
    <col width="62" customWidth="1" min="3" max="3"/>
    <col width="42" customWidth="1" min="4" max="4"/>
    <col width="28" customWidth="1" min="5" max="5"/>
    <col width="30" customWidth="1" min="6" max="6"/>
    <col width="44" customWidth="1" min="7" max="7"/>
    <col width="44" customWidth="1" min="8" max="8"/>
  </cols>
  <sheetData>
    <row r="1" ht="32" customHeight="1">
      <c r="A1" s="9" t="inlineStr">
        <is>
          <t>STATISTICAL RECOVERY CORE</t>
        </is>
      </c>
    </row>
    <row r="2" ht="34" customHeight="1">
      <c r="A2" s="10" t="inlineStr">
        <is>
          <t>SRC chain from ensemble variables through Fisher geometry and Einstein tensor recovery.</t>
        </is>
      </c>
    </row>
    <row r="5" ht="28" customHeight="1">
      <c r="A5" s="11" t="inlineStr">
        <is>
          <t>ID</t>
        </is>
      </c>
      <c r="B5" s="11" t="inlineStr">
        <is>
          <t>Stage</t>
        </is>
      </c>
      <c r="C5" s="11" t="inlineStr">
        <is>
          <t>Equation / object</t>
        </is>
      </c>
      <c r="D5" s="11" t="inlineStr">
        <is>
          <t>Dependency</t>
        </is>
      </c>
      <c r="E5" s="11" t="inlineStr">
        <is>
          <t>Status</t>
        </is>
      </c>
      <c r="F5" s="11" t="inlineStr">
        <is>
          <t>Type</t>
        </is>
      </c>
      <c r="G5" s="11" t="inlineStr">
        <is>
          <t>Interpretation</t>
        </is>
      </c>
      <c r="H5" s="11" t="inlineStr">
        <is>
          <t>Next</t>
        </is>
      </c>
    </row>
    <row r="6">
      <c r="A6" t="inlineStr">
        <is>
          <t>SRC-001</t>
        </is>
      </c>
      <c r="B6" t="inlineStr">
        <is>
          <t>Ensemble</t>
        </is>
      </c>
      <c r="C6" t="inlineStr">
        <is>
          <t>Ω,F</t>
        </is>
      </c>
      <c r="D6" t="inlineStr">
        <is>
          <t>Primitive statistical inputs</t>
        </is>
      </c>
      <c r="E6" t="inlineStr">
        <is>
          <t>DERIVED</t>
        </is>
      </c>
      <c r="F6" t="inlineStr">
        <is>
          <t>State</t>
        </is>
      </c>
      <c r="G6" t="inlineStr">
        <is>
          <t>Sample space / free energy</t>
        </is>
      </c>
      <c r="H6" t="inlineStr">
        <is>
          <t>μ</t>
        </is>
      </c>
    </row>
    <row r="7">
      <c r="A7" t="inlineStr">
        <is>
          <t>SRC-002</t>
        </is>
      </c>
      <c r="B7" t="inlineStr">
        <is>
          <t>Mean</t>
        </is>
      </c>
      <c r="C7" t="inlineStr">
        <is>
          <t>μ=E[X]</t>
        </is>
      </c>
      <c r="D7" t="inlineStr">
        <is>
          <t>P,X</t>
        </is>
      </c>
      <c r="E7" t="inlineStr">
        <is>
          <t>DERIVED</t>
        </is>
      </c>
      <c r="F7" t="inlineStr">
        <is>
          <t>Moment</t>
        </is>
      </c>
      <c r="G7" t="inlineStr">
        <is>
          <t>Expectation</t>
        </is>
      </c>
      <c r="H7" t="inlineStr">
        <is>
          <t>Var</t>
        </is>
      </c>
    </row>
    <row r="8">
      <c r="A8" t="inlineStr">
        <is>
          <t>SRC-003</t>
        </is>
      </c>
      <c r="B8" t="inlineStr">
        <is>
          <t>Variance</t>
        </is>
      </c>
      <c r="C8" t="inlineStr">
        <is>
          <t>Var(X)=E[(X-μ)^2]</t>
        </is>
      </c>
      <c r="D8" t="inlineStr">
        <is>
          <t>μ,P,X</t>
        </is>
      </c>
      <c r="E8" t="inlineStr">
        <is>
          <t>DERIVED</t>
        </is>
      </c>
      <c r="F8" t="inlineStr">
        <is>
          <t>Moment</t>
        </is>
      </c>
      <c r="G8" t="inlineStr">
        <is>
          <t>Fluctuation</t>
        </is>
      </c>
      <c r="H8" t="inlineStr">
        <is>
          <t>H(P)</t>
        </is>
      </c>
    </row>
    <row r="9">
      <c r="A9" t="inlineStr">
        <is>
          <t>SRC-004</t>
        </is>
      </c>
      <c r="B9" t="inlineStr">
        <is>
          <t>Entropy</t>
        </is>
      </c>
      <c r="C9" t="inlineStr">
        <is>
          <t>H(P)=-Σ_xP(x)lnP(x)</t>
        </is>
      </c>
      <c r="D9" t="inlineStr">
        <is>
          <t>P</t>
        </is>
      </c>
      <c r="E9" t="inlineStr">
        <is>
          <t>DERIVED</t>
        </is>
      </c>
      <c r="F9" t="inlineStr">
        <is>
          <t>Information</t>
        </is>
      </c>
      <c r="G9" t="inlineStr">
        <is>
          <t>Shannon entropy</t>
        </is>
      </c>
      <c r="H9" t="inlineStr">
        <is>
          <t>Z</t>
        </is>
      </c>
    </row>
    <row r="10">
      <c r="A10" t="inlineStr">
        <is>
          <t>SRC-005</t>
        </is>
      </c>
      <c r="B10" t="inlineStr">
        <is>
          <t>Partition</t>
        </is>
      </c>
      <c r="C10" t="inlineStr">
        <is>
          <t>Z=Σ_xe^{-βE_x}</t>
        </is>
      </c>
      <c r="D10" t="inlineStr">
        <is>
          <t>E,β</t>
        </is>
      </c>
      <c r="E10" t="inlineStr">
        <is>
          <t>DERIVED</t>
        </is>
      </c>
      <c r="F10" t="inlineStr">
        <is>
          <t>Partition</t>
        </is>
      </c>
      <c r="G10" t="inlineStr">
        <is>
          <t>Normalization</t>
        </is>
      </c>
      <c r="H10" t="inlineStr">
        <is>
          <t>F</t>
        </is>
      </c>
    </row>
    <row r="11">
      <c r="A11" t="inlineStr">
        <is>
          <t>SRC-006</t>
        </is>
      </c>
      <c r="B11" t="inlineStr">
        <is>
          <t>Free energy</t>
        </is>
      </c>
      <c r="C11" t="inlineStr">
        <is>
          <t>F=-k_BTlnZ</t>
        </is>
      </c>
      <c r="D11" t="inlineStr">
        <is>
          <t>Z,T</t>
        </is>
      </c>
      <c r="E11" t="inlineStr">
        <is>
          <t>DERIVED</t>
        </is>
      </c>
      <c r="F11" t="inlineStr">
        <is>
          <t>Potential</t>
        </is>
      </c>
      <c r="G11" t="inlineStr">
        <is>
          <t>Thermodynamic potential</t>
        </is>
      </c>
      <c r="H11" t="inlineStr">
        <is>
          <t>PDE</t>
        </is>
      </c>
    </row>
    <row r="12">
      <c r="A12" t="inlineStr">
        <is>
          <t>SRC-007</t>
        </is>
      </c>
      <c r="B12" t="inlineStr">
        <is>
          <t>Evolution</t>
        </is>
      </c>
      <c r="C12" t="inlineStr">
        <is>
          <t>∂_tP=𝓛^*P</t>
        </is>
      </c>
      <c r="D12" t="inlineStr">
        <is>
          <t>P</t>
        </is>
      </c>
      <c r="E12" t="inlineStr">
        <is>
          <t>DERIVED</t>
        </is>
      </c>
      <c r="F12" t="inlineStr">
        <is>
          <t>PDE</t>
        </is>
      </c>
      <c r="G12" t="inlineStr">
        <is>
          <t>Probability evolution</t>
        </is>
      </c>
      <c r="H12" t="inlineStr">
        <is>
          <t>L</t>
        </is>
      </c>
    </row>
    <row r="13">
      <c r="A13" t="inlineStr">
        <is>
          <t>SRC-008</t>
        </is>
      </c>
      <c r="B13" t="inlineStr">
        <is>
          <t>Generator</t>
        </is>
      </c>
      <c r="C13" t="inlineStr">
        <is>
          <t>𝓛φ_i=λ_iφ_i</t>
        </is>
      </c>
      <c r="D13" t="inlineStr">
        <is>
          <t>𝓛</t>
        </is>
      </c>
      <c r="E13" t="inlineStr">
        <is>
          <t>DERIVED</t>
        </is>
      </c>
      <c r="F13" t="inlineStr">
        <is>
          <t>Spectrum</t>
        </is>
      </c>
      <c r="G13" t="inlineStr">
        <is>
          <t>Relaxation modes</t>
        </is>
      </c>
      <c r="H13" t="inlineStr">
        <is>
          <t>gap</t>
        </is>
      </c>
    </row>
    <row r="14">
      <c r="A14" t="inlineStr">
        <is>
          <t>SRC-009</t>
        </is>
      </c>
      <c r="B14" t="inlineStr">
        <is>
          <t>Relaxation</t>
        </is>
      </c>
      <c r="C14" t="inlineStr">
        <is>
          <t>τ_relax~1/λ_gap</t>
        </is>
      </c>
      <c r="D14" t="inlineStr">
        <is>
          <t>λ_gap</t>
        </is>
      </c>
      <c r="E14" t="inlineStr">
        <is>
          <t>DERIVED</t>
        </is>
      </c>
      <c r="F14" t="inlineStr">
        <is>
          <t>Timescale</t>
        </is>
      </c>
      <c r="G14" t="inlineStr">
        <is>
          <t>Dominant relaxation</t>
        </is>
      </c>
      <c r="H14" t="inlineStr">
        <is>
          <t>MI</t>
        </is>
      </c>
    </row>
    <row r="15">
      <c r="A15" t="inlineStr">
        <is>
          <t>SRC-010</t>
        </is>
      </c>
      <c r="B15" t="inlineStr">
        <is>
          <t>Mutual information</t>
        </is>
      </c>
      <c r="C15" t="inlineStr">
        <is>
          <t>I(X;Y)=Σp(x,y)ln[p(x,y)/(p(x)p(y))]</t>
        </is>
      </c>
      <c r="D15" t="inlineStr">
        <is>
          <t>P(X,Y)</t>
        </is>
      </c>
      <c r="E15" t="inlineStr">
        <is>
          <t>DERIVED</t>
        </is>
      </c>
      <c r="F15" t="inlineStr">
        <is>
          <t>Information</t>
        </is>
      </c>
      <c r="G15" t="inlineStr">
        <is>
          <t>Dependence</t>
        </is>
      </c>
      <c r="H15" t="inlineStr">
        <is>
          <t>KL</t>
        </is>
      </c>
    </row>
    <row r="16">
      <c r="A16" t="inlineStr">
        <is>
          <t>SRC-011</t>
        </is>
      </c>
      <c r="B16" t="inlineStr">
        <is>
          <t>KL</t>
        </is>
      </c>
      <c r="C16" t="inlineStr">
        <is>
          <t>D_KL(P||Q)=ΣP ln(P/Q)</t>
        </is>
      </c>
      <c r="D16" t="inlineStr">
        <is>
          <t>P,Q</t>
        </is>
      </c>
      <c r="E16" t="inlineStr">
        <is>
          <t>DERIVED</t>
        </is>
      </c>
      <c r="F16" t="inlineStr">
        <is>
          <t>Information</t>
        </is>
      </c>
      <c r="G16" t="inlineStr">
        <is>
          <t>Divergence</t>
        </is>
      </c>
      <c r="H16" t="inlineStr">
        <is>
          <t>Fisher</t>
        </is>
      </c>
    </row>
    <row r="17">
      <c r="A17" t="inlineStr">
        <is>
          <t>SRC-012</t>
        </is>
      </c>
      <c r="B17" t="inlineStr">
        <is>
          <t>Fisher</t>
        </is>
      </c>
      <c r="C17" t="inlineStr">
        <is>
          <t>I_{ij}=E[∂_i ln p ∂_j ln p]</t>
        </is>
      </c>
      <c r="D17" t="inlineStr">
        <is>
          <t>p(·|θ)</t>
        </is>
      </c>
      <c r="E17" t="inlineStr">
        <is>
          <t>DERIVED</t>
        </is>
      </c>
      <c r="F17" t="inlineStr">
        <is>
          <t>Metric</t>
        </is>
      </c>
      <c r="G17" t="inlineStr">
        <is>
          <t>Information metric</t>
        </is>
      </c>
      <c r="H17" t="inlineStr">
        <is>
          <t>Fisher–Rao</t>
        </is>
      </c>
    </row>
    <row r="18">
      <c r="A18" t="inlineStr">
        <is>
          <t>SRC-013</t>
        </is>
      </c>
      <c r="B18" t="inlineStr">
        <is>
          <t>Fisher–Rao</t>
        </is>
      </c>
      <c r="C18" t="inlineStr">
        <is>
          <t>g^F_{ij}=I_{ij}</t>
        </is>
      </c>
      <c r="D18" t="inlineStr">
        <is>
          <t>I_F</t>
        </is>
      </c>
      <c r="E18" t="inlineStr">
        <is>
          <t>DERIVED</t>
        </is>
      </c>
      <c r="F18" t="inlineStr">
        <is>
          <t>Geometry</t>
        </is>
      </c>
      <c r="G18" t="inlineStr">
        <is>
          <t>Information geometry</t>
        </is>
      </c>
      <c r="H18" t="inlineStr">
        <is>
          <t>Connection</t>
        </is>
      </c>
    </row>
    <row r="19">
      <c r="A19" t="inlineStr">
        <is>
          <t>SRC-014</t>
        </is>
      </c>
      <c r="B19" t="inlineStr">
        <is>
          <t>Connection</t>
        </is>
      </c>
      <c r="C19" t="inlineStr">
        <is>
          <t>Γ^k_{ij}=1/2g^{kl}(∂_ig_{jl}+∂_jg_{il}-∂_lg_{ij})</t>
        </is>
      </c>
      <c r="D19" t="inlineStr">
        <is>
          <t>g^F</t>
        </is>
      </c>
      <c r="E19" t="inlineStr">
        <is>
          <t>DERIVED</t>
        </is>
      </c>
      <c r="F19" t="inlineStr">
        <is>
          <t>Connection</t>
        </is>
      </c>
      <c r="G19" t="inlineStr">
        <is>
          <t>Levi-Civita</t>
        </is>
      </c>
      <c r="H19" t="inlineStr">
        <is>
          <t>Curvature</t>
        </is>
      </c>
    </row>
    <row r="20">
      <c r="A20" t="inlineStr">
        <is>
          <t>SRC-015</t>
        </is>
      </c>
      <c r="B20" t="inlineStr">
        <is>
          <t>Curvature</t>
        </is>
      </c>
      <c r="C20" t="inlineStr">
        <is>
          <t>R^l_{ijk}</t>
        </is>
      </c>
      <c r="D20" t="inlineStr">
        <is>
          <t>Γ^k_{ij}</t>
        </is>
      </c>
      <c r="E20" t="inlineStr">
        <is>
          <t>DERIVED</t>
        </is>
      </c>
      <c r="F20" t="inlineStr">
        <is>
          <t>Curvature</t>
        </is>
      </c>
      <c r="G20" t="inlineStr">
        <is>
          <t>Riemann</t>
        </is>
      </c>
      <c r="H20" t="inlineStr">
        <is>
          <t>Ricci</t>
        </is>
      </c>
    </row>
    <row r="21">
      <c r="A21" t="inlineStr">
        <is>
          <t>SRC-016</t>
        </is>
      </c>
      <c r="B21" t="inlineStr">
        <is>
          <t>Ricci</t>
        </is>
      </c>
      <c r="C21" t="inlineStr">
        <is>
          <t>R_{ij}</t>
        </is>
      </c>
      <c r="D21" t="inlineStr">
        <is>
          <t>Riemann</t>
        </is>
      </c>
      <c r="E21" t="inlineStr">
        <is>
          <t>DERIVED</t>
        </is>
      </c>
      <c r="F21" t="inlineStr">
        <is>
          <t>Curvature</t>
        </is>
      </c>
      <c r="G21" t="inlineStr">
        <is>
          <t>Ricci</t>
        </is>
      </c>
      <c r="H21" t="inlineStr">
        <is>
          <t>Scalar</t>
        </is>
      </c>
    </row>
    <row r="22">
      <c r="A22" t="inlineStr">
        <is>
          <t>SRC-017</t>
        </is>
      </c>
      <c r="B22" t="inlineStr">
        <is>
          <t>Scalar</t>
        </is>
      </c>
      <c r="C22" t="inlineStr">
        <is>
          <t>R</t>
        </is>
      </c>
      <c r="D22" t="inlineStr">
        <is>
          <t>Ricci,g^F</t>
        </is>
      </c>
      <c r="E22" t="inlineStr">
        <is>
          <t>DERIVED</t>
        </is>
      </c>
      <c r="F22" t="inlineStr">
        <is>
          <t>Curvature</t>
        </is>
      </c>
      <c r="G22" t="inlineStr">
        <is>
          <t>Scalar curvature</t>
        </is>
      </c>
      <c r="H22" t="inlineStr">
        <is>
          <t>Einstein</t>
        </is>
      </c>
    </row>
    <row r="23">
      <c r="A23" t="inlineStr">
        <is>
          <t>SRC-018</t>
        </is>
      </c>
      <c r="B23" t="inlineStr">
        <is>
          <t>Einstein</t>
        </is>
      </c>
      <c r="C23" t="inlineStr">
        <is>
          <t>G_{ij}=R_{ij}-1/2Rg^F_{ij}</t>
        </is>
      </c>
      <c r="D23" t="inlineStr">
        <is>
          <t>R,Ricci,g^F</t>
        </is>
      </c>
      <c r="E23" t="inlineStr">
        <is>
          <t>DERIVED</t>
        </is>
      </c>
      <c r="F23" t="inlineStr">
        <is>
          <t>Field tensor</t>
        </is>
      </c>
      <c r="G23" t="inlineStr">
        <is>
          <t>Einstein tensor</t>
        </is>
      </c>
      <c r="H23" t="inlineStr">
        <is>
          <t>Field equation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tabColor rgb="002F5D8C"/>
    <outlinePr summaryBelow="1" summaryRight="1"/>
    <pageSetUpPr/>
  </sheetPr>
  <dimension ref="A1:H1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2" customWidth="1" min="3" max="3"/>
    <col width="42" customWidth="1" min="4" max="4"/>
    <col width="28" customWidth="1" min="5" max="5"/>
    <col width="32" customWidth="1" min="6" max="6"/>
    <col width="46" customWidth="1" min="7" max="7"/>
    <col width="46" customWidth="1" min="8" max="8"/>
  </cols>
  <sheetData>
    <row r="1" ht="32" customHeight="1">
      <c r="A1" s="9" t="inlineStr">
        <is>
          <t>QUANTUM RECOVERY CORE</t>
        </is>
      </c>
    </row>
    <row r="2" ht="34" customHeight="1">
      <c r="A2" s="10" t="inlineStr">
        <is>
          <t>Canonical quantum/operator equations retained from the established QRC branch.</t>
        </is>
      </c>
    </row>
    <row r="5" ht="28" customHeight="1">
      <c r="A5" s="11" t="inlineStr">
        <is>
          <t>ID</t>
        </is>
      </c>
      <c r="B5" s="11" t="inlineStr">
        <is>
          <t>Stage</t>
        </is>
      </c>
      <c r="C5" s="11" t="inlineStr">
        <is>
          <t>Equation</t>
        </is>
      </c>
      <c r="D5" s="11" t="inlineStr">
        <is>
          <t>Dependency</t>
        </is>
      </c>
      <c r="E5" s="11" t="inlineStr">
        <is>
          <t>Status</t>
        </is>
      </c>
      <c r="F5" s="11" t="inlineStr">
        <is>
          <t>Operator</t>
        </is>
      </c>
      <c r="G5" s="11" t="inlineStr">
        <is>
          <t>Meaning</t>
        </is>
      </c>
      <c r="H5" s="11" t="inlineStr">
        <is>
          <t>Next</t>
        </is>
      </c>
    </row>
    <row r="6">
      <c r="A6" t="inlineStr">
        <is>
          <t>QRC-001</t>
        </is>
      </c>
      <c r="B6" t="inlineStr">
        <is>
          <t>Operator lift</t>
        </is>
      </c>
      <c r="C6" t="inlineStr">
        <is>
          <t>𝒟²=L⊗I_spin</t>
        </is>
      </c>
      <c r="D6" t="inlineStr">
        <is>
          <t>L</t>
        </is>
      </c>
      <c r="E6" t="inlineStr">
        <is>
          <t>DERIVED</t>
        </is>
      </c>
      <c r="F6" t="inlineStr">
        <is>
          <t>𝒟</t>
        </is>
      </c>
      <c r="G6" t="inlineStr">
        <is>
          <t>Spinorial spectral lift</t>
        </is>
      </c>
      <c r="H6" t="inlineStr">
        <is>
          <t>Hamiltonian</t>
        </is>
      </c>
    </row>
    <row r="7">
      <c r="A7" t="inlineStr">
        <is>
          <t>QRC-002</t>
        </is>
      </c>
      <c r="B7" t="inlineStr">
        <is>
          <t>Translation</t>
        </is>
      </c>
      <c r="C7" t="inlineStr">
        <is>
          <t>T(a)=e^{aΦ}</t>
        </is>
      </c>
      <c r="D7" t="inlineStr">
        <is>
          <t>Φ</t>
        </is>
      </c>
      <c r="E7" t="inlineStr">
        <is>
          <t>DERIVED</t>
        </is>
      </c>
      <c r="F7" t="inlineStr">
        <is>
          <t>T</t>
        </is>
      </c>
      <c r="G7" t="inlineStr">
        <is>
          <t>Transformation operator</t>
        </is>
      </c>
      <c r="H7" t="inlineStr">
        <is>
          <t>P</t>
        </is>
      </c>
    </row>
    <row r="8">
      <c r="A8" t="inlineStr">
        <is>
          <t>QRC-003</t>
        </is>
      </c>
      <c r="B8" t="inlineStr">
        <is>
          <t>Momentum</t>
        </is>
      </c>
      <c r="C8" t="inlineStr">
        <is>
          <t>P̂=-iℏΦ</t>
        </is>
      </c>
      <c r="D8" t="inlineStr">
        <is>
          <t>Φ</t>
        </is>
      </c>
      <c r="E8" t="inlineStr">
        <is>
          <t>DERIVED</t>
        </is>
      </c>
      <c r="F8" t="inlineStr">
        <is>
          <t>P̂</t>
        </is>
      </c>
      <c r="G8" t="inlineStr">
        <is>
          <t>Generator representation</t>
        </is>
      </c>
      <c r="H8" t="inlineStr">
        <is>
          <t>Commutator</t>
        </is>
      </c>
    </row>
    <row r="9">
      <c r="A9" t="inlineStr">
        <is>
          <t>QRC-004</t>
        </is>
      </c>
      <c r="B9" t="inlineStr">
        <is>
          <t>Canonical algebra</t>
        </is>
      </c>
      <c r="C9" t="inlineStr">
        <is>
          <t>[X̂,P̂]=iℏI</t>
        </is>
      </c>
      <c r="D9" t="inlineStr">
        <is>
          <t>X̂,P̂</t>
        </is>
      </c>
      <c r="E9" t="inlineStr">
        <is>
          <t>DERIVED</t>
        </is>
      </c>
      <c r="F9" t="inlineStr">
        <is>
          <t>[·,·]</t>
        </is>
      </c>
      <c r="G9" t="inlineStr">
        <is>
          <t>Canonical quantum relation</t>
        </is>
      </c>
      <c r="H9" t="inlineStr">
        <is>
          <t>Schrödinger</t>
        </is>
      </c>
    </row>
    <row r="10">
      <c r="A10" t="inlineStr">
        <is>
          <t>QRC-005</t>
        </is>
      </c>
      <c r="B10" t="inlineStr">
        <is>
          <t>Schrödinger</t>
        </is>
      </c>
      <c r="C10" t="inlineStr">
        <is>
          <t>iℏ∂_tψ=Ĥψ</t>
        </is>
      </c>
      <c r="D10" t="inlineStr">
        <is>
          <t>Ĥ,ψ</t>
        </is>
      </c>
      <c r="E10" t="inlineStr">
        <is>
          <t>DERIVED</t>
        </is>
      </c>
      <c r="F10" t="inlineStr">
        <is>
          <t>Ĥ</t>
        </is>
      </c>
      <c r="G10" t="inlineStr">
        <is>
          <t>Quantum evolution</t>
        </is>
      </c>
      <c r="H10" t="inlineStr">
        <is>
          <t>Dirac</t>
        </is>
      </c>
    </row>
    <row r="11">
      <c r="A11" t="inlineStr">
        <is>
          <t>QRC-006</t>
        </is>
      </c>
      <c r="B11" t="inlineStr">
        <is>
          <t>Dirac/spectral</t>
        </is>
      </c>
      <c r="C11" t="inlineStr">
        <is>
          <t>𝒟²=L⊗I_spin</t>
        </is>
      </c>
      <c r="D11" t="inlineStr">
        <is>
          <t>L,spin</t>
        </is>
      </c>
      <c r="E11" t="inlineStr">
        <is>
          <t>DERIVED</t>
        </is>
      </c>
      <c r="F11" t="inlineStr">
        <is>
          <t>𝒟</t>
        </is>
      </c>
      <c r="G11" t="inlineStr">
        <is>
          <t>Relates Dirac spectrum to organization</t>
        </is>
      </c>
      <c r="H11" t="inlineStr">
        <is>
          <t>Gauge</t>
        </is>
      </c>
    </row>
    <row r="12">
      <c r="A12" t="inlineStr">
        <is>
          <t>QRC-007</t>
        </is>
      </c>
      <c r="B12" t="inlineStr">
        <is>
          <t>Gauge derivative</t>
        </is>
      </c>
      <c r="C12" t="inlineStr">
        <is>
          <t>D_μ=∂_μ-igA_μ</t>
        </is>
      </c>
      <c r="D12" t="inlineStr">
        <is>
          <t>A_μ</t>
        </is>
      </c>
      <c r="E12" t="inlineStr">
        <is>
          <t>DERIVED</t>
        </is>
      </c>
      <c r="F12" t="inlineStr">
        <is>
          <t>D_μ</t>
        </is>
      </c>
      <c r="G12" t="inlineStr">
        <is>
          <t>Gauge-covariant derivative</t>
        </is>
      </c>
      <c r="H12" t="inlineStr">
        <is>
          <t>Field strength</t>
        </is>
      </c>
    </row>
    <row r="13">
      <c r="A13" t="inlineStr">
        <is>
          <t>QRC-008</t>
        </is>
      </c>
      <c r="B13" t="inlineStr">
        <is>
          <t>Field strength</t>
        </is>
      </c>
      <c r="C13" t="inlineStr">
        <is>
          <t>F_{μν}=∂_μA_ν-∂_νA_μ-ig[A_μ,A_ν]</t>
        </is>
      </c>
      <c r="D13" t="inlineStr">
        <is>
          <t>A_μ</t>
        </is>
      </c>
      <c r="E13" t="inlineStr">
        <is>
          <t>DERIVED</t>
        </is>
      </c>
      <c r="F13" t="inlineStr">
        <is>
          <t>F_{μν}</t>
        </is>
      </c>
      <c r="G13" t="inlineStr">
        <is>
          <t>Gauge curvature</t>
        </is>
      </c>
      <c r="H13" t="inlineStr">
        <is>
          <t>YM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tabColor rgb="00C89B3C"/>
    <outlinePr summaryBelow="1" summaryRight="1"/>
    <pageSetUpPr/>
  </sheetPr>
  <dimension ref="A1:H10"/>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0" customWidth="1" min="3" max="3"/>
    <col width="42" customWidth="1" min="4" max="4"/>
    <col width="28" customWidth="1" min="5" max="5"/>
    <col width="32" customWidth="1" min="6" max="6"/>
    <col width="48" customWidth="1" min="7" max="7"/>
    <col width="42" customWidth="1" min="8" max="8"/>
  </cols>
  <sheetData>
    <row r="1" ht="32" customHeight="1">
      <c r="A1" s="9" t="inlineStr">
        <is>
          <t>THERMODYNAMIC RECOVERY CORE</t>
        </is>
      </c>
    </row>
    <row r="2" ht="34" customHeight="1">
      <c r="A2" s="10" t="inlineStr">
        <is>
          <t>TRC-certified thermodynamic identities and transport constraints.</t>
        </is>
      </c>
    </row>
    <row r="5" ht="28" customHeight="1">
      <c r="A5" s="11" t="inlineStr">
        <is>
          <t>ID</t>
        </is>
      </c>
      <c r="B5" s="11" t="inlineStr">
        <is>
          <t>Stage</t>
        </is>
      </c>
      <c r="C5" s="11" t="inlineStr">
        <is>
          <t>Equation</t>
        </is>
      </c>
      <c r="D5" s="11" t="inlineStr">
        <is>
          <t>Dependency</t>
        </is>
      </c>
      <c r="E5" s="11" t="inlineStr">
        <is>
          <t>Status</t>
        </is>
      </c>
      <c r="F5" s="11" t="inlineStr">
        <is>
          <t>Object</t>
        </is>
      </c>
      <c r="G5" s="11" t="inlineStr">
        <is>
          <t>Interpretation</t>
        </is>
      </c>
      <c r="H5" s="11" t="inlineStr">
        <is>
          <t>Downstream</t>
        </is>
      </c>
    </row>
    <row r="6">
      <c r="A6" t="inlineStr">
        <is>
          <t>TRC-001</t>
        </is>
      </c>
      <c r="B6" t="inlineStr">
        <is>
          <t>Internal energy</t>
        </is>
      </c>
      <c r="C6" t="inlineStr">
        <is>
          <t>e=E/ρ-1/2u^αu_α</t>
        </is>
      </c>
      <c r="D6" t="inlineStr">
        <is>
          <t>E,ρ,u</t>
        </is>
      </c>
      <c r="E6" t="inlineStr">
        <is>
          <t>VERIFIED</t>
        </is>
      </c>
      <c r="F6" t="inlineStr">
        <is>
          <t>e</t>
        </is>
      </c>
      <c r="G6" t="inlineStr">
        <is>
          <t>Specific/internal energy relation</t>
        </is>
      </c>
      <c r="H6" t="inlineStr">
        <is>
          <t>Entropy</t>
        </is>
      </c>
    </row>
    <row r="7">
      <c r="A7" t="inlineStr">
        <is>
          <t>TRC-002</t>
        </is>
      </c>
      <c r="B7" t="inlineStr">
        <is>
          <t>Entropy current</t>
        </is>
      </c>
      <c r="C7" t="inlineStr">
        <is>
          <t>S^μ</t>
        </is>
      </c>
      <c r="D7" t="inlineStr">
        <is>
          <t>Thermodynamic state</t>
        </is>
      </c>
      <c r="E7" t="inlineStr">
        <is>
          <t>VERIFIED</t>
        </is>
      </c>
      <c r="F7" t="inlineStr">
        <is>
          <t>S^μ</t>
        </is>
      </c>
      <c r="G7" t="inlineStr">
        <is>
          <t>Entropy transport</t>
        </is>
      </c>
      <c r="H7" t="inlineStr">
        <is>
          <t>Clausius–Duhem</t>
        </is>
      </c>
    </row>
    <row r="8">
      <c r="A8" t="inlineStr">
        <is>
          <t>TRC-003</t>
        </is>
      </c>
      <c r="B8" t="inlineStr">
        <is>
          <t>Entropy production</t>
        </is>
      </c>
      <c r="C8" t="inlineStr">
        <is>
          <t>σ=-dF/dt≥0</t>
        </is>
      </c>
      <c r="D8" t="inlineStr">
        <is>
          <t>F</t>
        </is>
      </c>
      <c r="E8" t="inlineStr">
        <is>
          <t>VERIFIED</t>
        </is>
      </c>
      <c r="F8" t="inlineStr">
        <is>
          <t>σ</t>
        </is>
      </c>
      <c r="G8" t="inlineStr">
        <is>
          <t>Dissipative production</t>
        </is>
      </c>
      <c r="H8" t="inlineStr">
        <is>
          <t>Persistence</t>
        </is>
      </c>
    </row>
    <row r="9">
      <c r="A9" t="inlineStr">
        <is>
          <t>TRC-004</t>
        </is>
      </c>
      <c r="B9" t="inlineStr">
        <is>
          <t>Clausius–Duhem</t>
        </is>
      </c>
      <c r="C9" t="inlineStr">
        <is>
          <t>Clausius–Duhem inequality</t>
        </is>
      </c>
      <c r="D9" t="inlineStr">
        <is>
          <t>S^μ,q,T</t>
        </is>
      </c>
      <c r="E9" t="inlineStr">
        <is>
          <t>VERIFIED</t>
        </is>
      </c>
      <c r="F9" t="inlineStr">
        <is>
          <t>Inequality</t>
        </is>
      </c>
      <c r="G9" t="inlineStr">
        <is>
          <t>Second-law constraint</t>
        </is>
      </c>
      <c r="H9" t="inlineStr">
        <is>
          <t>Transport</t>
        </is>
      </c>
    </row>
    <row r="10">
      <c r="A10" t="inlineStr">
        <is>
          <t>TRC-005</t>
        </is>
      </c>
      <c r="B10" t="inlineStr">
        <is>
          <t>Heat flux</t>
        </is>
      </c>
      <c r="C10" t="inlineStr">
        <is>
          <t>q^μ=-κ∇^μT, κ≥0</t>
        </is>
      </c>
      <c r="D10" t="inlineStr">
        <is>
          <t>T,κ</t>
        </is>
      </c>
      <c r="E10" t="inlineStr">
        <is>
          <t>VERIFIED</t>
        </is>
      </c>
      <c r="F10" t="inlineStr">
        <is>
          <t>q^μ</t>
        </is>
      </c>
      <c r="G10" t="inlineStr">
        <is>
          <t>Fourier transport</t>
        </is>
      </c>
      <c r="H10" t="inlineStr">
        <is>
          <t>Continuum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0" customWidth="1" min="2" max="2"/>
    <col width="58" customWidth="1" min="3" max="3"/>
    <col width="44" customWidth="1" min="4" max="4"/>
    <col width="28" customWidth="1" min="5" max="5"/>
    <col width="32" customWidth="1" min="6" max="6"/>
    <col width="48" customWidth="1" min="7" max="7"/>
    <col width="42" customWidth="1" min="8" max="8"/>
    <col width="42" customWidth="1" min="9" max="9"/>
  </cols>
  <sheetData>
    <row r="1" ht="32" customHeight="1">
      <c r="A1" s="9" t="inlineStr">
        <is>
          <t>FINITE NCG / GAUGE / REPRESENTATION CORE</t>
        </is>
      </c>
    </row>
    <row r="2" ht="34" customHeight="1">
      <c r="A2" s="10" t="inlineStr">
        <is>
          <t>Established finite spectral-triple and gauge/representation equations.</t>
        </is>
      </c>
    </row>
    <row r="5" ht="28" customHeight="1">
      <c r="A5" s="11" t="inlineStr">
        <is>
          <t>ID</t>
        </is>
      </c>
      <c r="B5" s="11" t="inlineStr">
        <is>
          <t>Layer</t>
        </is>
      </c>
      <c r="C5" s="11" t="inlineStr">
        <is>
          <t>Equation</t>
        </is>
      </c>
      <c r="D5" s="11" t="inlineStr">
        <is>
          <t>Dependency</t>
        </is>
      </c>
      <c r="E5" s="11" t="inlineStr">
        <is>
          <t>Status</t>
        </is>
      </c>
      <c r="F5" s="11" t="inlineStr">
        <is>
          <t>Object</t>
        </is>
      </c>
      <c r="G5" s="11" t="inlineStr">
        <is>
          <t>Criterion</t>
        </is>
      </c>
      <c r="H5" s="11" t="inlineStr">
        <is>
          <t>Next</t>
        </is>
      </c>
      <c r="I5" s="11" t="inlineStr">
        <is>
          <t>Notes</t>
        </is>
      </c>
    </row>
    <row r="6">
      <c r="A6" t="inlineStr">
        <is>
          <t>NCG-001</t>
        </is>
      </c>
      <c r="B6" t="inlineStr">
        <is>
          <t>Spectral action</t>
        </is>
      </c>
      <c r="C6" t="inlineStr">
        <is>
          <t>𝒱_O=Tr f(𝒟²/Λ_cut²)</t>
        </is>
      </c>
      <c r="D6" t="inlineStr">
        <is>
          <t>𝒟</t>
        </is>
      </c>
      <c r="E6" t="inlineStr">
        <is>
          <t>DERIVED</t>
        </is>
      </c>
      <c r="F6" t="inlineStr">
        <is>
          <t>Spectral action</t>
        </is>
      </c>
      <c r="G6" t="inlineStr">
        <is>
          <t>Trace functional</t>
        </is>
      </c>
      <c r="H6" t="inlineStr">
        <is>
          <t>Finite algebra</t>
        </is>
      </c>
    </row>
    <row r="7">
      <c r="A7" t="inlineStr">
        <is>
          <t>NCG-002</t>
        </is>
      </c>
      <c r="B7" t="inlineStr">
        <is>
          <t>KO-structure</t>
        </is>
      </c>
      <c r="C7" t="inlineStr">
        <is>
          <t>J_F²=-1</t>
        </is>
      </c>
      <c r="D7" t="inlineStr">
        <is>
          <t>J_F</t>
        </is>
      </c>
      <c r="E7" t="inlineStr">
        <is>
          <t>DERIVED</t>
        </is>
      </c>
      <c r="F7" t="inlineStr">
        <is>
          <t>Real structure</t>
        </is>
      </c>
      <c r="G7" t="inlineStr">
        <is>
          <t>KO=4</t>
        </is>
      </c>
      <c r="H7" t="inlineStr">
        <is>
          <t>JD</t>
        </is>
      </c>
    </row>
    <row r="8">
      <c r="A8" t="inlineStr">
        <is>
          <t>NCG-003</t>
        </is>
      </c>
      <c r="B8" t="inlineStr">
        <is>
          <t>KO-structure</t>
        </is>
      </c>
      <c r="C8" t="inlineStr">
        <is>
          <t>J_FD_F=D_FJ_F</t>
        </is>
      </c>
      <c r="D8" t="inlineStr">
        <is>
          <t>J_F,D_F</t>
        </is>
      </c>
      <c r="E8" t="inlineStr">
        <is>
          <t>DERIVED</t>
        </is>
      </c>
      <c r="F8" t="inlineStr">
        <is>
          <t>Real/Dirac compatibility</t>
        </is>
      </c>
      <c r="G8" t="inlineStr">
        <is>
          <t>KO=4</t>
        </is>
      </c>
      <c r="H8" t="inlineStr">
        <is>
          <t>Grading</t>
        </is>
      </c>
    </row>
    <row r="9">
      <c r="A9" t="inlineStr">
        <is>
          <t>NCG-004</t>
        </is>
      </c>
      <c r="B9" t="inlineStr">
        <is>
          <t>Grading</t>
        </is>
      </c>
      <c r="C9" t="inlineStr">
        <is>
          <t>{D_F,γ_F}=0</t>
        </is>
      </c>
      <c r="D9" t="inlineStr">
        <is>
          <t>D_F,γ_F</t>
        </is>
      </c>
      <c r="E9" t="inlineStr">
        <is>
          <t>DERIVED</t>
        </is>
      </c>
      <c r="F9" t="inlineStr">
        <is>
          <t>Even grading</t>
        </is>
      </c>
      <c r="G9" t="inlineStr">
        <is>
          <t>Even spectral triple</t>
        </is>
      </c>
      <c r="H9" t="inlineStr">
        <is>
          <t>Representation</t>
        </is>
      </c>
    </row>
    <row r="10">
      <c r="A10" t="inlineStr">
        <is>
          <t>NCG-005</t>
        </is>
      </c>
      <c r="B10" t="inlineStr">
        <is>
          <t>KO compatibility</t>
        </is>
      </c>
      <c r="C10" t="inlineStr">
        <is>
          <t>M=S_L \overline M S_R^{-1}</t>
        </is>
      </c>
      <c r="D10" t="inlineStr">
        <is>
          <t>M,J_F</t>
        </is>
      </c>
      <c r="E10" t="inlineStr">
        <is>
          <t>DERIVED</t>
        </is>
      </c>
      <c r="F10" t="inlineStr">
        <is>
          <t>Finite Dirac compatibility</t>
        </is>
      </c>
      <c r="G10" t="inlineStr">
        <is>
          <t>KO=4</t>
        </is>
      </c>
      <c r="H10" t="inlineStr">
        <is>
          <t>Poincaré</t>
        </is>
      </c>
    </row>
    <row r="11">
      <c r="A11" t="inlineStr">
        <is>
          <t>NCG-006</t>
        </is>
      </c>
      <c r="B11" t="inlineStr">
        <is>
          <t>Poincaré</t>
        </is>
      </c>
      <c r="C11" t="inlineStr">
        <is>
          <t>μ_{ij}=n_{ij}^{(+)}-n_{ij}^{(-)}</t>
        </is>
      </c>
      <c r="D11" t="inlineStr">
        <is>
          <t>Finite representation</t>
        </is>
      </c>
      <c r="E11" t="inlineStr">
        <is>
          <t>DERIVED</t>
        </is>
      </c>
      <c r="F11" t="inlineStr">
        <is>
          <t>Intersection matrix</t>
        </is>
      </c>
      <c r="G11" t="inlineStr">
        <is>
          <t>Construct μ</t>
        </is>
      </c>
      <c r="H11" t="inlineStr">
        <is>
          <t>Q</t>
        </is>
      </c>
    </row>
    <row r="12">
      <c r="A12" t="inlineStr">
        <is>
          <t>NCG-007</t>
        </is>
      </c>
      <c r="B12" t="inlineStr">
        <is>
          <t>Poincaré</t>
        </is>
      </c>
      <c r="C12" t="inlineStr">
        <is>
          <t>Q_{ij}=Tr[γ_Fπ(e_i)J_Fπ(e_j)J_F^{-1}]</t>
        </is>
      </c>
      <c r="D12" t="inlineStr">
        <is>
          <t>π,J_F,γ_F</t>
        </is>
      </c>
      <c r="E12" t="inlineStr">
        <is>
          <t>DERIVED</t>
        </is>
      </c>
      <c r="F12" t="inlineStr">
        <is>
          <t>Intersection form</t>
        </is>
      </c>
      <c r="G12" t="inlineStr">
        <is>
          <t>det Q≠0</t>
        </is>
      </c>
      <c r="H12" t="inlineStr">
        <is>
          <t>Orientability</t>
        </is>
      </c>
    </row>
    <row r="13">
      <c r="A13" t="inlineStr">
        <is>
          <t>NCG-008</t>
        </is>
      </c>
      <c r="B13" t="inlineStr">
        <is>
          <t>Poincaré</t>
        </is>
      </c>
      <c r="C13" t="inlineStr">
        <is>
          <t>det Q≠0</t>
        </is>
      </c>
      <c r="D13" t="inlineStr">
        <is>
          <t>Q</t>
        </is>
      </c>
      <c r="E13" t="inlineStr">
        <is>
          <t>DERIVED</t>
        </is>
      </c>
      <c r="F13" t="inlineStr">
        <is>
          <t>Nondegeneracy</t>
        </is>
      </c>
      <c r="G13" t="inlineStr">
        <is>
          <t>Poincaré duality</t>
        </is>
      </c>
      <c r="H13" t="inlineStr">
        <is>
          <t>Orientability</t>
        </is>
      </c>
    </row>
    <row r="14">
      <c r="A14" t="inlineStr">
        <is>
          <t>NCG-009</t>
        </is>
      </c>
      <c r="B14" t="inlineStr">
        <is>
          <t>Orientability</t>
        </is>
      </c>
      <c r="C14" t="inlineStr">
        <is>
          <t>γ_F=π_D(c)</t>
        </is>
      </c>
      <c r="D14" t="inlineStr">
        <is>
          <t>π_D,c</t>
        </is>
      </c>
      <c r="E14" t="inlineStr">
        <is>
          <t>DERIVED</t>
        </is>
      </c>
      <c r="F14" t="inlineStr">
        <is>
          <t>Hochschild cycle</t>
        </is>
      </c>
      <c r="G14" t="inlineStr">
        <is>
          <t>Explicit cycle</t>
        </is>
      </c>
      <c r="H14" t="inlineStr">
        <is>
          <t>Continuum</t>
        </is>
      </c>
    </row>
    <row r="15">
      <c r="A15" t="inlineStr">
        <is>
          <t>NCG-010</t>
        </is>
      </c>
      <c r="B15" t="inlineStr">
        <is>
          <t>Gauge group</t>
        </is>
      </c>
      <c r="C15" t="inlineStr">
        <is>
          <t>G_SM=SU(3)×SU(2)×U(1)</t>
        </is>
      </c>
      <c r="D15" t="inlineStr">
        <is>
          <t>Finite representation</t>
        </is>
      </c>
      <c r="E15" t="inlineStr">
        <is>
          <t>VERIFIED</t>
        </is>
      </c>
      <c r="F15" t="inlineStr">
        <is>
          <t>Gauge group</t>
        </is>
      </c>
      <c r="G15" t="inlineStr">
        <is>
          <t>Project result</t>
        </is>
      </c>
      <c r="H15" t="inlineStr">
        <is>
          <t>Matter</t>
        </is>
      </c>
    </row>
    <row r="16">
      <c r="A16" t="inlineStr">
        <is>
          <t>NCG-011</t>
        </is>
      </c>
      <c r="B16" t="inlineStr">
        <is>
          <t>Gauge derivative</t>
        </is>
      </c>
      <c r="C16" t="inlineStr">
        <is>
          <t>D_μ=∂_μ-igA_μ</t>
        </is>
      </c>
      <c r="D16" t="inlineStr">
        <is>
          <t>A_μ</t>
        </is>
      </c>
      <c r="E16" t="inlineStr">
        <is>
          <t>DERIVED</t>
        </is>
      </c>
      <c r="F16" t="inlineStr">
        <is>
          <t>Covariant derivative</t>
        </is>
      </c>
      <c r="G16" t="inlineStr">
        <is>
          <t>Gauge covariance</t>
        </is>
      </c>
      <c r="H16" t="inlineStr">
        <is>
          <t>F_{μν}</t>
        </is>
      </c>
    </row>
    <row r="17">
      <c r="A17" t="inlineStr">
        <is>
          <t>NCG-012</t>
        </is>
      </c>
      <c r="B17" t="inlineStr">
        <is>
          <t>Gauge curvature</t>
        </is>
      </c>
      <c r="C17" t="inlineStr">
        <is>
          <t>F_{μν}=∂_μA_ν-∂_νA_μ-ig[A_μ,A_ν]</t>
        </is>
      </c>
      <c r="D17" t="inlineStr">
        <is>
          <t>A_μ</t>
        </is>
      </c>
      <c r="E17" t="inlineStr">
        <is>
          <t>DERIVED</t>
        </is>
      </c>
      <c r="F17" t="inlineStr">
        <is>
          <t>Field strength</t>
        </is>
      </c>
      <c r="G17" t="inlineStr">
        <is>
          <t>Gauge covariance</t>
        </is>
      </c>
      <c r="H17" t="inlineStr">
        <is>
          <t>YM</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tabColor rgb="002B7A78"/>
    <outlinePr summaryBelow="1" summaryRight="1"/>
    <pageSetUpPr/>
  </sheetPr>
  <dimension ref="A1:I18"/>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0" customWidth="1" min="2" max="2"/>
    <col width="52" customWidth="1" min="3" max="3"/>
    <col width="42" customWidth="1" min="4" max="4"/>
    <col width="42" customWidth="1" min="5" max="5"/>
    <col width="42" customWidth="1" min="6" max="6"/>
    <col width="42" customWidth="1" min="7" max="7"/>
    <col width="30" customWidth="1" min="8" max="8"/>
    <col width="50" customWidth="1" min="9" max="9"/>
  </cols>
  <sheetData>
    <row r="1" ht="32" customHeight="1">
      <c r="A1" s="9" t="inlineStr">
        <is>
          <t>UNIVERSAL ROSETTA EQUATION MAP</t>
        </is>
      </c>
    </row>
    <row r="2" ht="34" customHeight="1">
      <c r="A2" s="10" t="inlineStr">
        <is>
          <t>Cross-domain translation of the canonical equation grammar. This is a representation map, not an assertion that domain equations are identical.</t>
        </is>
      </c>
    </row>
    <row r="5" ht="28" customHeight="1">
      <c r="A5" s="11" t="inlineStr">
        <is>
          <t>Layer</t>
        </is>
      </c>
      <c r="B5" s="11" t="inlineStr">
        <is>
          <t>Universal form</t>
        </is>
      </c>
      <c r="C5" s="11" t="inlineStr">
        <is>
          <t>Physics</t>
        </is>
      </c>
      <c r="D5" s="11" t="inlineStr">
        <is>
          <t>Biology</t>
        </is>
      </c>
      <c r="E5" s="11" t="inlineStr">
        <is>
          <t>Chemistry</t>
        </is>
      </c>
      <c r="F5" s="11" t="inlineStr">
        <is>
          <t>Ecology</t>
        </is>
      </c>
      <c r="G5" s="11" t="inlineStr">
        <is>
          <t>Institutions</t>
        </is>
      </c>
      <c r="H5" s="11" t="inlineStr">
        <is>
          <t>Translation invariant</t>
        </is>
      </c>
      <c r="I5" s="11" t="inlineStr">
        <is>
          <t>Status</t>
        </is>
      </c>
    </row>
    <row r="6">
      <c r="A6" t="inlineStr">
        <is>
          <t>R0</t>
        </is>
      </c>
      <c r="B6" t="inlineStr">
        <is>
          <t>D</t>
        </is>
      </c>
      <c r="C6" t="inlineStr">
        <is>
          <t>state distinction</t>
        </is>
      </c>
      <c r="D6" t="inlineStr">
        <is>
          <t>cell/molecule distinction</t>
        </is>
      </c>
      <c r="E6" t="inlineStr">
        <is>
          <t>compound distinction</t>
        </is>
      </c>
      <c r="F6" t="inlineStr">
        <is>
          <t>population distinction</t>
        </is>
      </c>
      <c r="G6" t="inlineStr">
        <is>
          <t>role/actor distinction</t>
        </is>
      </c>
      <c r="H6" t="inlineStr">
        <is>
          <t>distinguishability</t>
        </is>
      </c>
      <c r="I6" t="inlineStr">
        <is>
          <t>DERIVED</t>
        </is>
      </c>
    </row>
    <row r="7">
      <c r="A7" t="inlineStr">
        <is>
          <t>R1</t>
        </is>
      </c>
      <c r="B7" t="inlineStr">
        <is>
          <t>T</t>
        </is>
      </c>
      <c r="C7" t="inlineStr">
        <is>
          <t>operator/dynamics</t>
        </is>
      </c>
      <c r="D7" t="inlineStr">
        <is>
          <t>regulatory/reaction transition</t>
        </is>
      </c>
      <c r="E7" t="inlineStr">
        <is>
          <t>reaction/bond transition</t>
        </is>
      </c>
      <c r="F7" t="inlineStr">
        <is>
          <t>interaction/growth</t>
        </is>
      </c>
      <c r="G7" t="inlineStr">
        <is>
          <t>decision/process transition</t>
        </is>
      </c>
      <c r="H7" t="inlineStr">
        <is>
          <t>state transition</t>
        </is>
      </c>
      <c r="I7" t="inlineStr">
        <is>
          <t>DERIVED</t>
        </is>
      </c>
    </row>
    <row r="8">
      <c r="A8" t="inlineStr">
        <is>
          <t>R2</t>
        </is>
      </c>
      <c r="B8" t="inlineStr">
        <is>
          <t>C</t>
        </is>
      </c>
      <c r="C8" t="inlineStr">
        <is>
          <t>conservation/boundary</t>
        </is>
      </c>
      <c r="D8" t="inlineStr">
        <is>
          <t>viability/regulation</t>
        </is>
      </c>
      <c r="E8" t="inlineStr">
        <is>
          <t>stoichiometry/energy</t>
        </is>
      </c>
      <c r="F8" t="inlineStr">
        <is>
          <t>resource constraints</t>
        </is>
      </c>
      <c r="G8" t="inlineStr">
        <is>
          <t>rules/institutional constraints</t>
        </is>
      </c>
      <c r="H8" t="inlineStr">
        <is>
          <t>admissibility</t>
        </is>
      </c>
      <c r="I8" t="inlineStr">
        <is>
          <t>DERIVED</t>
        </is>
      </c>
    </row>
    <row r="9">
      <c r="A9" t="inlineStr">
        <is>
          <t>R3</t>
        </is>
      </c>
      <c r="B9" t="inlineStr">
        <is>
          <t>X_t</t>
        </is>
      </c>
      <c r="C9" t="inlineStr">
        <is>
          <t>field/state/vector</t>
        </is>
      </c>
      <c r="D9" t="inlineStr">
        <is>
          <t>cell/network state</t>
        </is>
      </c>
      <c r="E9" t="inlineStr">
        <is>
          <t>configuration state</t>
        </is>
      </c>
      <c r="F9" t="inlineStr">
        <is>
          <t>population state</t>
        </is>
      </c>
      <c r="G9" t="inlineStr">
        <is>
          <t>organizational state</t>
        </is>
      </c>
      <c r="H9" t="inlineStr">
        <is>
          <t>state representation</t>
        </is>
      </c>
      <c r="I9" t="inlineStr">
        <is>
          <t>DERIVED</t>
        </is>
      </c>
    </row>
    <row r="10">
      <c r="A10" t="inlineStr">
        <is>
          <t>R4</t>
        </is>
      </c>
      <c r="B10" t="inlineStr">
        <is>
          <t>G</t>
        </is>
      </c>
      <c r="C10" t="inlineStr">
        <is>
          <t>physical/network graph</t>
        </is>
      </c>
      <c r="D10" t="inlineStr">
        <is>
          <t>regulatory network</t>
        </is>
      </c>
      <c r="E10" t="inlineStr">
        <is>
          <t>reaction network</t>
        </is>
      </c>
      <c r="F10" t="inlineStr">
        <is>
          <t>food/web network</t>
        </is>
      </c>
      <c r="G10" t="inlineStr">
        <is>
          <t>institutional network</t>
        </is>
      </c>
      <c r="H10" t="inlineStr">
        <is>
          <t>relation structure</t>
        </is>
      </c>
      <c r="I10" t="inlineStr">
        <is>
          <t>DERIVED</t>
        </is>
      </c>
    </row>
    <row r="11">
      <c r="A11" t="inlineStr">
        <is>
          <t>R5</t>
        </is>
      </c>
      <c r="B11" t="inlineStr">
        <is>
          <t>L</t>
        </is>
      </c>
      <c r="C11" t="inlineStr">
        <is>
          <t>graph Laplacian</t>
        </is>
      </c>
      <c r="D11" t="inlineStr">
        <is>
          <t>network operator</t>
        </is>
      </c>
      <c r="E11" t="inlineStr">
        <is>
          <t>reaction operator</t>
        </is>
      </c>
      <c r="F11" t="inlineStr">
        <is>
          <t>interaction operator</t>
        </is>
      </c>
      <c r="G11" t="inlineStr">
        <is>
          <t>transition operator</t>
        </is>
      </c>
      <c r="H11" t="inlineStr">
        <is>
          <t>operator structure</t>
        </is>
      </c>
      <c r="I11" t="inlineStr">
        <is>
          <t>DERIVED</t>
        </is>
      </c>
    </row>
    <row r="12">
      <c r="A12" t="inlineStr">
        <is>
          <t>R6</t>
        </is>
      </c>
      <c r="B12" t="inlineStr">
        <is>
          <t>Lφ=λφ</t>
        </is>
      </c>
      <c r="C12" t="inlineStr">
        <is>
          <t>spectral modes</t>
        </is>
      </c>
      <c r="D12" t="inlineStr">
        <is>
          <t>network modes</t>
        </is>
      </c>
      <c r="E12" t="inlineStr">
        <is>
          <t>reaction modes</t>
        </is>
      </c>
      <c r="F12" t="inlineStr">
        <is>
          <t>stability modes</t>
        </is>
      </c>
      <c r="G12" t="inlineStr">
        <is>
          <t>organizational modes</t>
        </is>
      </c>
      <c r="H12" t="inlineStr">
        <is>
          <t>mode decomposition</t>
        </is>
      </c>
      <c r="I12" t="inlineStr">
        <is>
          <t>DERIVED</t>
        </is>
      </c>
    </row>
    <row r="13">
      <c r="A13" t="inlineStr">
        <is>
          <t>R7</t>
        </is>
      </c>
      <c r="B13" t="inlineStr">
        <is>
          <t>Π</t>
        </is>
      </c>
      <c r="C13" t="inlineStr">
        <is>
          <t>persistent sector</t>
        </is>
      </c>
      <c r="D13" t="inlineStr">
        <is>
          <t>stable organization</t>
        </is>
      </c>
      <c r="E13" t="inlineStr">
        <is>
          <t>persistent pathway</t>
        </is>
      </c>
      <c r="F13" t="inlineStr">
        <is>
          <t>persistent population</t>
        </is>
      </c>
      <c r="G13" t="inlineStr">
        <is>
          <t>institutional persistence</t>
        </is>
      </c>
      <c r="H13" t="inlineStr">
        <is>
          <t>persistence</t>
        </is>
      </c>
      <c r="I13" t="inlineStr">
        <is>
          <t>DERIVED</t>
        </is>
      </c>
    </row>
    <row r="14">
      <c r="A14" t="inlineStr">
        <is>
          <t>R8</t>
        </is>
      </c>
      <c r="B14" t="inlineStr">
        <is>
          <t>d</t>
        </is>
      </c>
      <c r="C14" t="inlineStr">
        <is>
          <t>spectral/relational distance</t>
        </is>
      </c>
      <c r="D14" t="inlineStr">
        <is>
          <t>state similarity</t>
        </is>
      </c>
      <c r="E14" t="inlineStr">
        <is>
          <t>configuration distance</t>
        </is>
      </c>
      <c r="F14" t="inlineStr">
        <is>
          <t>ecological distance</t>
        </is>
      </c>
      <c r="G14" t="inlineStr">
        <is>
          <t>relational distance</t>
        </is>
      </c>
      <c r="H14" t="inlineStr">
        <is>
          <t>relational geometry</t>
        </is>
      </c>
      <c r="I14" t="inlineStr">
        <is>
          <t>DERIVED</t>
        </is>
      </c>
    </row>
    <row r="15">
      <c r="A15" t="inlineStr">
        <is>
          <t>R9</t>
        </is>
      </c>
      <c r="B15" t="inlineStr">
        <is>
          <t>g,R</t>
        </is>
      </c>
      <c r="C15" t="inlineStr">
        <is>
          <t>metric/curvature</t>
        </is>
      </c>
      <c r="D15" t="inlineStr">
        <is>
          <t>state-space geometry</t>
        </is>
      </c>
      <c r="E15" t="inlineStr">
        <is>
          <t>configuration geometry</t>
        </is>
      </c>
      <c r="F15" t="inlineStr">
        <is>
          <t>landscape geometry</t>
        </is>
      </c>
      <c r="G15" t="inlineStr">
        <is>
          <t>organizational geometry</t>
        </is>
      </c>
      <c r="H15" t="inlineStr">
        <is>
          <t>geometric structure</t>
        </is>
      </c>
      <c r="I15" t="inlineStr">
        <is>
          <t>DERIVED</t>
        </is>
      </c>
    </row>
    <row r="16">
      <c r="A16" t="inlineStr">
        <is>
          <t>R10</t>
        </is>
      </c>
      <c r="B16" t="inlineStr">
        <is>
          <t>Effective law</t>
        </is>
      </c>
      <c r="C16" t="inlineStr">
        <is>
          <t>Einstein/YM</t>
        </is>
      </c>
      <c r="D16" t="inlineStr">
        <is>
          <t>population/regulatory law</t>
        </is>
      </c>
      <c r="E16" t="inlineStr">
        <is>
          <t>kinetic law</t>
        </is>
      </c>
      <c r="F16" t="inlineStr">
        <is>
          <t>ecological law</t>
        </is>
      </c>
      <c r="G16" t="inlineStr">
        <is>
          <t>institutional dynamics</t>
        </is>
      </c>
      <c r="H16" t="inlineStr">
        <is>
          <t>governing relation</t>
        </is>
      </c>
      <c r="I16" t="inlineStr">
        <is>
          <t>DERIVED</t>
        </is>
      </c>
    </row>
    <row r="17">
      <c r="A17" t="inlineStr">
        <is>
          <t>R11</t>
        </is>
      </c>
      <c r="B17" t="inlineStr">
        <is>
          <t>Representation</t>
        </is>
      </c>
      <c r="C17" t="inlineStr">
        <is>
          <t>gauge/matter reps</t>
        </is>
      </c>
      <c r="D17" t="inlineStr">
        <is>
          <t>cell/molecular types</t>
        </is>
      </c>
      <c r="E17" t="inlineStr">
        <is>
          <t>species/material types</t>
        </is>
      </c>
      <c r="F17" t="inlineStr">
        <is>
          <t>population classes</t>
        </is>
      </c>
      <c r="G17" t="inlineStr">
        <is>
          <t>institutional roles</t>
        </is>
      </c>
      <c r="H17" t="inlineStr">
        <is>
          <t>typed realization</t>
        </is>
      </c>
      <c r="I17" t="inlineStr">
        <is>
          <t>DERIVED</t>
        </is>
      </c>
    </row>
    <row r="18">
      <c r="A18" t="inlineStr">
        <is>
          <t>R12</t>
        </is>
      </c>
      <c r="B18" t="inlineStr">
        <is>
          <t>𝓡_α</t>
        </is>
      </c>
      <c r="C18" t="inlineStr">
        <is>
          <t>observables</t>
        </is>
      </c>
      <c r="D18" t="inlineStr">
        <is>
          <t>phenotypes</t>
        </is>
      </c>
      <c r="E18" t="inlineStr">
        <is>
          <t>measurements</t>
        </is>
      </c>
      <c r="F18" t="inlineStr">
        <is>
          <t>ecosystem observables</t>
        </is>
      </c>
      <c r="G18" t="inlineStr">
        <is>
          <t>institutional outcomes</t>
        </is>
      </c>
      <c r="H18" t="inlineStr">
        <is>
          <t>domain translation</t>
        </is>
      </c>
      <c r="I18" t="inlineStr">
        <is>
          <t>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38" customWidth="1" min="2" max="2"/>
    <col width="50" customWidth="1" min="3" max="3"/>
    <col width="42" customWidth="1" min="4" max="4"/>
    <col width="30" customWidth="1" min="5" max="5"/>
    <col width="30" customWidth="1" min="6" max="6"/>
    <col width="34" customWidth="1" min="7" max="7"/>
    <col width="30" customWidth="1" min="8" max="8"/>
    <col width="46" customWidth="1" min="9" max="9"/>
  </cols>
  <sheetData>
    <row r="1" ht="32" customHeight="1">
      <c r="A1" s="9" t="inlineStr">
        <is>
          <t>MDCL CLOSURE MATRIX</t>
        </is>
      </c>
    </row>
    <row r="2" ht="34" customHeight="1">
      <c r="A2" s="10" t="inlineStr">
        <is>
          <t>Active canonical closure state. Non-admissible branches are intentionally excluded from this matrix.</t>
        </is>
      </c>
    </row>
    <row r="5" ht="28" customHeight="1">
      <c r="A5" s="11" t="inlineStr">
        <is>
          <t>Closure</t>
        </is>
      </c>
      <c r="B5" s="11" t="inlineStr">
        <is>
          <t>Target</t>
        </is>
      </c>
      <c r="C5" s="11" t="inlineStr">
        <is>
          <t>Canonical result</t>
        </is>
      </c>
      <c r="D5" s="11" t="inlineStr">
        <is>
          <t>Dependencies</t>
        </is>
      </c>
      <c r="E5" s="11" t="inlineStr">
        <is>
          <t>Status</t>
        </is>
      </c>
      <c r="F5" s="11" t="inlineStr">
        <is>
          <t>Active?</t>
        </is>
      </c>
      <c r="G5" s="11" t="inlineStr">
        <is>
          <t>Evidence class</t>
        </is>
      </c>
      <c r="H5" s="11" t="inlineStr">
        <is>
          <t>Next admissible layer</t>
        </is>
      </c>
      <c r="I5" s="11" t="inlineStr">
        <is>
          <t>Notes</t>
        </is>
      </c>
    </row>
    <row r="6">
      <c r="A6" t="inlineStr">
        <is>
          <t>C0</t>
        </is>
      </c>
      <c r="B6" t="inlineStr">
        <is>
          <t>Primitive / grammar</t>
        </is>
      </c>
      <c r="C6" t="inlineStr">
        <is>
          <t>D,T,C; Γ=C∘T∘D</t>
        </is>
      </c>
      <c r="D6" t="inlineStr">
        <is>
          <t>Existence,P</t>
        </is>
      </c>
      <c r="E6" t="inlineStr">
        <is>
          <t>DERIVED</t>
        </is>
      </c>
      <c r="F6" t="inlineStr">
        <is>
          <t>YES</t>
        </is>
      </c>
      <c r="G6" t="inlineStr">
        <is>
          <t>Recovered MDCL</t>
        </is>
      </c>
      <c r="H6" t="inlineStr">
        <is>
          <t>C1</t>
        </is>
      </c>
    </row>
    <row r="7">
      <c r="A7" t="inlineStr">
        <is>
          <t>C1</t>
        </is>
      </c>
      <c r="B7" t="inlineStr">
        <is>
          <t>Organizational closure</t>
        </is>
      </c>
      <c r="C7" t="inlineStr">
        <is>
          <t>Ψ_{t+1}=Γ(Ψ_t); Ψ*=Γ(Ψ*)</t>
        </is>
      </c>
      <c r="D7" t="inlineStr">
        <is>
          <t>Γ</t>
        </is>
      </c>
      <c r="E7" t="inlineStr">
        <is>
          <t>DERIVED</t>
        </is>
      </c>
      <c r="F7" t="inlineStr">
        <is>
          <t>YES</t>
        </is>
      </c>
      <c r="G7" t="inlineStr">
        <is>
          <t>Recovery branch</t>
        </is>
      </c>
      <c r="H7" t="inlineStr">
        <is>
          <t>C2</t>
        </is>
      </c>
    </row>
    <row r="8">
      <c r="A8" t="inlineStr">
        <is>
          <t>C2</t>
        </is>
      </c>
      <c r="B8" t="inlineStr">
        <is>
          <t>Persistence / spectral</t>
        </is>
      </c>
      <c r="C8" t="inlineStr">
        <is>
          <t>L, Spec(L), K_t, Π</t>
        </is>
      </c>
      <c r="D8" t="inlineStr">
        <is>
          <t>G,B,L</t>
        </is>
      </c>
      <c r="E8" t="inlineStr">
        <is>
          <t>CALCULATED</t>
        </is>
      </c>
      <c r="F8" t="inlineStr">
        <is>
          <t>YES</t>
        </is>
      </c>
      <c r="G8" t="inlineStr">
        <is>
          <t>Full spectrum + registry</t>
        </is>
      </c>
      <c r="H8" t="inlineStr">
        <is>
          <t>C3</t>
        </is>
      </c>
    </row>
    <row r="9">
      <c r="A9" t="inlineStr">
        <is>
          <t>C3</t>
        </is>
      </c>
      <c r="B9" t="inlineStr">
        <is>
          <t>Spectral→geometry</t>
        </is>
      </c>
      <c r="C9" t="inlineStr">
        <is>
          <t>Spec(L)→d→g→∇→R→G</t>
        </is>
      </c>
      <c r="D9" t="inlineStr">
        <is>
          <t>Π,d,g</t>
        </is>
      </c>
      <c r="E9" t="inlineStr">
        <is>
          <t>DERIVED</t>
        </is>
      </c>
      <c r="F9" t="inlineStr">
        <is>
          <t>YES</t>
        </is>
      </c>
      <c r="G9" t="inlineStr">
        <is>
          <t>Mathematical recovery</t>
        </is>
      </c>
      <c r="H9" t="inlineStr">
        <is>
          <t>C4</t>
        </is>
      </c>
    </row>
    <row r="10">
      <c r="A10" t="inlineStr">
        <is>
          <t>C4</t>
        </is>
      </c>
      <c r="B10" t="inlineStr">
        <is>
          <t>Variational</t>
        </is>
      </c>
      <c r="C10" t="inlineStr">
        <is>
          <t>δS=0→Euler–Lagrange</t>
        </is>
      </c>
      <c r="D10" t="inlineStr">
        <is>
          <t>Action</t>
        </is>
      </c>
      <c r="E10" t="inlineStr">
        <is>
          <t>VERIFIED</t>
        </is>
      </c>
      <c r="F10" t="inlineStr">
        <is>
          <t>YES</t>
        </is>
      </c>
      <c r="G10" t="inlineStr">
        <is>
          <t>VCL recovery</t>
        </is>
      </c>
      <c r="H10" t="inlineStr">
        <is>
          <t>C5</t>
        </is>
      </c>
    </row>
    <row r="11">
      <c r="A11" t="inlineStr">
        <is>
          <t>C5</t>
        </is>
      </c>
      <c r="B11" t="inlineStr">
        <is>
          <t>Thermodynamic</t>
        </is>
      </c>
      <c r="C11" t="inlineStr">
        <is>
          <t>e,S^μ,q^μ,σ</t>
        </is>
      </c>
      <c r="D11" t="inlineStr">
        <is>
          <t>State/transport</t>
        </is>
      </c>
      <c r="E11" t="inlineStr">
        <is>
          <t>VERIFIED</t>
        </is>
      </c>
      <c r="F11" t="inlineStr">
        <is>
          <t>YES</t>
        </is>
      </c>
      <c r="G11" t="inlineStr">
        <is>
          <t>TRC</t>
        </is>
      </c>
      <c r="H11" t="inlineStr">
        <is>
          <t>C6</t>
        </is>
      </c>
    </row>
    <row r="12">
      <c r="A12" t="inlineStr">
        <is>
          <t>C6</t>
        </is>
      </c>
      <c r="B12" t="inlineStr">
        <is>
          <t>Quantum</t>
        </is>
      </c>
      <c r="C12" t="inlineStr">
        <is>
          <t>𝒟²=L⊗I_spin; canonical operator relations</t>
        </is>
      </c>
      <c r="D12" t="inlineStr">
        <is>
          <t>L,operator algebra</t>
        </is>
      </c>
      <c r="E12" t="inlineStr">
        <is>
          <t>DERIVED</t>
        </is>
      </c>
      <c r="F12" t="inlineStr">
        <is>
          <t>YES</t>
        </is>
      </c>
      <c r="G12" t="inlineStr">
        <is>
          <t>QRC</t>
        </is>
      </c>
      <c r="H12" t="inlineStr">
        <is>
          <t>C7</t>
        </is>
      </c>
    </row>
    <row r="13">
      <c r="A13" t="inlineStr">
        <is>
          <t>C7</t>
        </is>
      </c>
      <c r="B13" t="inlineStr">
        <is>
          <t>Finite representation</t>
        </is>
      </c>
      <c r="C13" t="inlineStr">
        <is>
          <t>A,π,H_F,D_F,J_F,γ_F</t>
        </is>
      </c>
      <c r="D13" t="inlineStr">
        <is>
          <t>NCG data</t>
        </is>
      </c>
      <c r="E13" t="inlineStr">
        <is>
          <t>DERIVED</t>
        </is>
      </c>
      <c r="F13" t="inlineStr">
        <is>
          <t>YES</t>
        </is>
      </c>
      <c r="G13" t="inlineStr">
        <is>
          <t>Finite NCG branch</t>
        </is>
      </c>
      <c r="H13" t="inlineStr">
        <is>
          <t>C8</t>
        </is>
      </c>
    </row>
    <row r="14">
      <c r="A14" t="inlineStr">
        <is>
          <t>C8</t>
        </is>
      </c>
      <c r="B14" t="inlineStr">
        <is>
          <t>Gauge</t>
        </is>
      </c>
      <c r="C14" t="inlineStr">
        <is>
          <t>D_μ,F_{μν},G_SM</t>
        </is>
      </c>
      <c r="D14" t="inlineStr">
        <is>
          <t>Finite representation</t>
        </is>
      </c>
      <c r="E14" t="inlineStr">
        <is>
          <t>VERIFIED/DERIVED</t>
        </is>
      </c>
      <c r="F14" t="inlineStr">
        <is>
          <t>YES</t>
        </is>
      </c>
      <c r="G14" t="inlineStr">
        <is>
          <t>Gauge branch</t>
        </is>
      </c>
      <c r="H14" t="inlineStr">
        <is>
          <t>C9</t>
        </is>
      </c>
    </row>
    <row r="15">
      <c r="A15" t="inlineStr">
        <is>
          <t>C9</t>
        </is>
      </c>
      <c r="B15" t="inlineStr">
        <is>
          <t>Matter / flavor</t>
        </is>
      </c>
      <c r="C15" t="inlineStr">
        <is>
          <t>D_F→Y_f→CKM/PMNS</t>
        </is>
      </c>
      <c r="D15" t="inlineStr">
        <is>
          <t>Finite representation</t>
        </is>
      </c>
      <c r="E15" t="inlineStr">
        <is>
          <t>DERIVED</t>
        </is>
      </c>
      <c r="F15" t="inlineStr">
        <is>
          <t>YES</t>
        </is>
      </c>
      <c r="G15" t="inlineStr">
        <is>
          <t>Matter/flavor branch</t>
        </is>
      </c>
      <c r="H15" t="inlineStr">
        <is>
          <t>C10</t>
        </is>
      </c>
    </row>
    <row r="16">
      <c r="A16" t="inlineStr">
        <is>
          <t>C10</t>
        </is>
      </c>
      <c r="B16" t="inlineStr">
        <is>
          <t>Continuum / scale</t>
        </is>
      </c>
      <c r="C16" t="inlineStr">
        <is>
          <t>Continuum geometry→field/scale realization</t>
        </is>
      </c>
      <c r="D16" t="inlineStr">
        <is>
          <t>Geometry,representation</t>
        </is>
      </c>
      <c r="E16" t="inlineStr">
        <is>
          <t>DERIVED</t>
        </is>
      </c>
      <c r="F16" t="inlineStr">
        <is>
          <t>YES</t>
        </is>
      </c>
      <c r="G16" t="inlineStr">
        <is>
          <t>Continuum branch</t>
        </is>
      </c>
      <c r="H16" t="inlineStr">
        <is>
          <t>Rosetta</t>
        </is>
      </c>
    </row>
    <row r="17">
      <c r="A17" t="inlineStr">
        <is>
          <t>URS</t>
        </is>
      </c>
      <c r="B17" t="inlineStr">
        <is>
          <t>Universal Rosetta</t>
        </is>
      </c>
      <c r="C17" t="inlineStr">
        <is>
          <t>Domain↔UOC translation preserves dependency order</t>
        </is>
      </c>
      <c r="D17" t="inlineStr">
        <is>
          <t>Γ,MDCL,UOC</t>
        </is>
      </c>
      <c r="E17" t="inlineStr">
        <is>
          <t>DERIVED</t>
        </is>
      </c>
      <c r="F17" t="inlineStr">
        <is>
          <t>YES</t>
        </is>
      </c>
      <c r="G17" t="inlineStr">
        <is>
          <t>Architecture</t>
        </is>
      </c>
      <c r="H17" t="inlineStr">
        <is>
          <t>Domain compilers</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tabColor rgb="0017233C"/>
    <outlinePr summaryBelow="1" summaryRight="1"/>
    <pageSetUpPr/>
  </sheetPr>
  <dimension ref="A1:L3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6" customWidth="1" min="2" max="2"/>
    <col width="28" customWidth="1" min="3" max="3"/>
    <col width="38" customWidth="1" min="4" max="4"/>
    <col width="48" customWidth="1" min="5" max="5"/>
    <col width="42" customWidth="1" min="6" max="6"/>
    <col width="42" customWidth="1" min="7" max="7"/>
    <col width="40" customWidth="1" min="8" max="8"/>
    <col width="34" customWidth="1" min="9" max="9"/>
    <col width="30" customWidth="1" min="10" max="10"/>
    <col width="30" customWidth="1" min="11" max="11"/>
    <col width="50" customWidth="1" min="12" max="12"/>
  </cols>
  <sheetData>
    <row r="1" ht="32" customHeight="1">
      <c r="A1" s="1" t="inlineStr">
        <is>
          <t>FULL UNIVERSAL ROSETTA UNIFICATION MATRIX</t>
        </is>
      </c>
    </row>
    <row r="2" ht="34" customHeight="1">
      <c r="A2" s="12" t="inlineStr">
        <is>
          <t>Canonical synthesis of the prior DTC, UOC, MDCL, ARBS, SEIT, recovery, NCG, and cross-domain matrices. Active rows contain only admissible current-state material.</t>
        </is>
      </c>
    </row>
    <row r="5" ht="30" customHeight="1">
      <c r="A5" s="11" t="inlineStr">
        <is>
          <t>ID</t>
        </is>
      </c>
      <c r="B5" s="11" t="inlineStr">
        <is>
          <t>Rosetta Layer</t>
        </is>
      </c>
      <c r="C5" s="11" t="inlineStr">
        <is>
          <t>Universal Object</t>
        </is>
      </c>
      <c r="D5" s="11" t="inlineStr">
        <is>
          <t>Primitive / Type</t>
        </is>
      </c>
      <c r="E5" s="11" t="inlineStr">
        <is>
          <t>Canonical Equation / Chain</t>
        </is>
      </c>
      <c r="F5" s="11" t="inlineStr">
        <is>
          <t>Physics realization</t>
        </is>
      </c>
      <c r="G5" s="11" t="inlineStr">
        <is>
          <t>Statistical / Thermodynamic realization</t>
        </is>
      </c>
      <c r="H5" s="11" t="inlineStr">
        <is>
          <t>Domain translation</t>
        </is>
      </c>
      <c r="I5" s="11" t="inlineStr">
        <is>
          <t>MDCL dependency</t>
        </is>
      </c>
      <c r="J5" s="11" t="inlineStr">
        <is>
          <t>Status</t>
        </is>
      </c>
      <c r="K5" s="11" t="inlineStr">
        <is>
          <t>Active</t>
        </is>
      </c>
      <c r="L5" s="11" t="inlineStr">
        <is>
          <t>Source basis</t>
        </is>
      </c>
    </row>
    <row r="6">
      <c r="A6" t="inlineStr">
        <is>
          <t>U-001</t>
        </is>
      </c>
      <c r="B6" t="inlineStr">
        <is>
          <t>R0</t>
        </is>
      </c>
      <c r="C6" t="inlineStr">
        <is>
          <t>Distinction</t>
        </is>
      </c>
      <c r="D6" t="inlineStr">
        <is>
          <t>D / Δ</t>
        </is>
      </c>
      <c r="E6" t="inlineStr">
        <is>
          <t>D: state separation</t>
        </is>
      </c>
      <c r="F6" t="inlineStr">
        <is>
          <t>distinguishable states</t>
        </is>
      </c>
      <c r="G6" t="inlineStr">
        <is>
          <t>sample/configuration distinction</t>
        </is>
      </c>
      <c r="H6" t="inlineStr">
        <is>
          <t>entities/states</t>
        </is>
      </c>
      <c r="I6" t="inlineStr">
        <is>
          <t>Γ</t>
        </is>
      </c>
      <c r="J6" t="inlineStr">
        <is>
          <t>DERIVED</t>
        </is>
      </c>
      <c r="K6" t="inlineStr">
        <is>
          <t>YES</t>
        </is>
      </c>
      <c r="L6" t="inlineStr">
        <is>
          <t>MDCL v1 + DTC matrix</t>
        </is>
      </c>
    </row>
    <row r="7">
      <c r="A7" t="inlineStr">
        <is>
          <t>U-002</t>
        </is>
      </c>
      <c r="B7" t="inlineStr">
        <is>
          <t>R1</t>
        </is>
      </c>
      <c r="C7" t="inlineStr">
        <is>
          <t>Transformation</t>
        </is>
      </c>
      <c r="D7" t="inlineStr">
        <is>
          <t>T / τ</t>
        </is>
      </c>
      <c r="E7" t="inlineStr">
        <is>
          <t>T: state transition</t>
        </is>
      </c>
      <c r="F7" t="inlineStr">
        <is>
          <t>dynamics/operator</t>
        </is>
      </c>
      <c r="G7" t="inlineStr">
        <is>
          <t>evolution/transport</t>
        </is>
      </c>
      <c r="H7" t="inlineStr">
        <is>
          <t>reaction, growth, decision</t>
        </is>
      </c>
      <c r="I7" t="inlineStr">
        <is>
          <t>D</t>
        </is>
      </c>
      <c r="J7" t="inlineStr">
        <is>
          <t>DERIVED</t>
        </is>
      </c>
      <c r="K7" t="inlineStr">
        <is>
          <t>YES</t>
        </is>
      </c>
      <c r="L7" t="inlineStr">
        <is>
          <t>MDCL v1 + Rosetta matrix</t>
        </is>
      </c>
    </row>
    <row r="8">
      <c r="A8" t="inlineStr">
        <is>
          <t>U-003</t>
        </is>
      </c>
      <c r="B8" t="inlineStr">
        <is>
          <t>R2</t>
        </is>
      </c>
      <c r="C8" t="inlineStr">
        <is>
          <t>Constraint</t>
        </is>
      </c>
      <c r="D8" t="inlineStr">
        <is>
          <t>C / κ</t>
        </is>
      </c>
      <c r="E8" t="inlineStr">
        <is>
          <t>C: admissibility restriction</t>
        </is>
      </c>
      <c r="F8" t="inlineStr">
        <is>
          <t>conservation/boundary</t>
        </is>
      </c>
      <c r="G8" t="inlineStr">
        <is>
          <t>entropy/feasibility constraints</t>
        </is>
      </c>
      <c r="H8" t="inlineStr">
        <is>
          <t>stoichiometry, resource, institutional rule</t>
        </is>
      </c>
      <c r="I8" t="inlineStr">
        <is>
          <t>D,T</t>
        </is>
      </c>
      <c r="J8" t="inlineStr">
        <is>
          <t>DERIVED</t>
        </is>
      </c>
      <c r="K8" t="inlineStr">
        <is>
          <t>YES</t>
        </is>
      </c>
      <c r="L8" t="inlineStr">
        <is>
          <t>MDCL v1 + UCCP</t>
        </is>
      </c>
    </row>
    <row r="9">
      <c r="A9" t="inlineStr">
        <is>
          <t>U-004</t>
        </is>
      </c>
      <c r="B9" t="inlineStr">
        <is>
          <t>R3</t>
        </is>
      </c>
      <c r="C9" t="inlineStr">
        <is>
          <t>Persistence</t>
        </is>
      </c>
      <c r="D9" t="inlineStr">
        <is>
          <t>Π</t>
        </is>
      </c>
      <c r="E9" t="inlineStr">
        <is>
          <t>Π: persistent organization</t>
        </is>
      </c>
      <c r="F9" t="inlineStr">
        <is>
          <t>persistent spectral sector</t>
        </is>
      </c>
      <c r="G9" t="inlineStr">
        <is>
          <t>stable statistical state</t>
        </is>
      </c>
      <c r="H9" t="inlineStr">
        <is>
          <t>stable organization</t>
        </is>
      </c>
      <c r="I9" t="inlineStr">
        <is>
          <t>Spec(L)</t>
        </is>
      </c>
      <c r="J9" t="inlineStr">
        <is>
          <t>DERIVED</t>
        </is>
      </c>
      <c r="K9" t="inlineStr">
        <is>
          <t>YES</t>
        </is>
      </c>
      <c r="L9" t="inlineStr">
        <is>
          <t>MDCL / SEIT</t>
        </is>
      </c>
    </row>
    <row r="10">
      <c r="A10" t="inlineStr">
        <is>
          <t>U-005</t>
        </is>
      </c>
      <c r="B10" t="inlineStr">
        <is>
          <t>R4</t>
        </is>
      </c>
      <c r="C10" t="inlineStr">
        <is>
          <t>Grammar</t>
        </is>
      </c>
      <c r="D10" t="inlineStr">
        <is>
          <t>Γ</t>
        </is>
      </c>
      <c r="E10" t="inlineStr">
        <is>
          <t>Γ=C∘T∘D</t>
        </is>
      </c>
      <c r="F10" t="inlineStr">
        <is>
          <t>organizational update</t>
        </is>
      </c>
      <c r="G10" t="inlineStr">
        <is>
          <t>state evolution under constraints</t>
        </is>
      </c>
      <c r="H10" t="inlineStr">
        <is>
          <t>generic transition grammar</t>
        </is>
      </c>
      <c r="I10" t="inlineStr">
        <is>
          <t>D,T,C</t>
        </is>
      </c>
      <c r="J10" t="inlineStr">
        <is>
          <t>DERIVED</t>
        </is>
      </c>
      <c r="K10" t="inlineStr">
        <is>
          <t>YES</t>
        </is>
      </c>
      <c r="L10" t="inlineStr">
        <is>
          <t>MDCL v1</t>
        </is>
      </c>
    </row>
    <row r="11">
      <c r="A11" t="inlineStr">
        <is>
          <t>U-006</t>
        </is>
      </c>
      <c r="B11" t="inlineStr">
        <is>
          <t>R5</t>
        </is>
      </c>
      <c r="C11" t="inlineStr">
        <is>
          <t>State</t>
        </is>
      </c>
      <c r="D11" t="inlineStr">
        <is>
          <t>X / Ψ</t>
        </is>
      </c>
      <c r="E11" t="inlineStr">
        <is>
          <t>X_{t+1}=Γ(X_t)</t>
        </is>
      </c>
      <c r="F11" t="inlineStr">
        <is>
          <t>field/state/vector</t>
        </is>
      </c>
      <c r="G11" t="inlineStr">
        <is>
          <t>P(x,t)</t>
        </is>
      </c>
      <c r="H11" t="inlineStr">
        <is>
          <t>domain state</t>
        </is>
      </c>
      <c r="I11" t="inlineStr">
        <is>
          <t>Γ</t>
        </is>
      </c>
      <c r="J11" t="inlineStr">
        <is>
          <t>DERIVED</t>
        </is>
      </c>
      <c r="K11" t="inlineStr">
        <is>
          <t>YES</t>
        </is>
      </c>
      <c r="L11" t="inlineStr">
        <is>
          <t>MDCL / UDP</t>
        </is>
      </c>
    </row>
    <row r="12">
      <c r="A12" t="inlineStr">
        <is>
          <t>U-007</t>
        </is>
      </c>
      <c r="B12" t="inlineStr">
        <is>
          <t>R6</t>
        </is>
      </c>
      <c r="C12" t="inlineStr">
        <is>
          <t>Organization</t>
        </is>
      </c>
      <c r="D12" t="inlineStr">
        <is>
          <t>G=(V,E)</t>
        </is>
      </c>
      <c r="E12" t="inlineStr">
        <is>
          <t>relation graph</t>
        </is>
      </c>
      <c r="F12" t="inlineStr">
        <is>
          <t>interaction graph</t>
        </is>
      </c>
      <c r="G12" t="inlineStr">
        <is>
          <t>dependency/network graph</t>
        </is>
      </c>
      <c r="H12" t="inlineStr">
        <is>
          <t>regulatory/reaction/ecological/institutional network</t>
        </is>
      </c>
      <c r="I12" t="inlineStr">
        <is>
          <t>X</t>
        </is>
      </c>
      <c r="J12" t="inlineStr">
        <is>
          <t>CALCULATED</t>
        </is>
      </c>
      <c r="K12" t="inlineStr">
        <is>
          <t>YES</t>
        </is>
      </c>
      <c r="L12" t="inlineStr">
        <is>
          <t>ARBS / Rosetta</t>
        </is>
      </c>
    </row>
    <row r="13">
      <c r="A13" t="inlineStr">
        <is>
          <t>U-008</t>
        </is>
      </c>
      <c r="B13" t="inlineStr">
        <is>
          <t>R7</t>
        </is>
      </c>
      <c r="C13" t="inlineStr">
        <is>
          <t>Incidence</t>
        </is>
      </c>
      <c r="D13" t="inlineStr">
        <is>
          <t>B</t>
        </is>
      </c>
      <c r="E13" t="inlineStr">
        <is>
          <t>L=BBᵀ</t>
        </is>
      </c>
      <c r="F13" t="inlineStr">
        <is>
          <t>incidence operator</t>
        </is>
      </c>
      <c r="G13" t="inlineStr">
        <is>
          <t>network incidence</t>
        </is>
      </c>
      <c r="H13" t="inlineStr">
        <is>
          <t>relation incidence</t>
        </is>
      </c>
      <c r="I13" t="inlineStr">
        <is>
          <t>G</t>
        </is>
      </c>
      <c r="J13" t="inlineStr">
        <is>
          <t>CALCULATED</t>
        </is>
      </c>
      <c r="K13" t="inlineStr">
        <is>
          <t>YES</t>
        </is>
      </c>
      <c r="L13" t="inlineStr">
        <is>
          <t>ARBS</t>
        </is>
      </c>
    </row>
    <row r="14">
      <c r="A14" t="inlineStr">
        <is>
          <t>U-009</t>
        </is>
      </c>
      <c r="B14" t="inlineStr">
        <is>
          <t>R8</t>
        </is>
      </c>
      <c r="C14" t="inlineStr">
        <is>
          <t>Operator</t>
        </is>
      </c>
      <c r="D14" t="inlineStr">
        <is>
          <t>L</t>
        </is>
      </c>
      <c r="E14" t="inlineStr">
        <is>
          <t>L=D-A=BBᵀ</t>
        </is>
      </c>
      <c r="F14" t="inlineStr">
        <is>
          <t>graph Laplacian</t>
        </is>
      </c>
      <c r="G14" t="inlineStr">
        <is>
          <t>generator / diffusion operator</t>
        </is>
      </c>
      <c r="H14" t="inlineStr">
        <is>
          <t>domain structural operator</t>
        </is>
      </c>
      <c r="I14" t="inlineStr">
        <is>
          <t>B,G</t>
        </is>
      </c>
      <c r="J14" t="inlineStr">
        <is>
          <t>DERIVED</t>
        </is>
      </c>
      <c r="K14" t="inlineStr">
        <is>
          <t>YES</t>
        </is>
      </c>
      <c r="L14" t="inlineStr">
        <is>
          <t>ARBS / SEIT</t>
        </is>
      </c>
    </row>
    <row r="15">
      <c r="A15" t="inlineStr">
        <is>
          <t>U-010</t>
        </is>
      </c>
      <c r="B15" t="inlineStr">
        <is>
          <t>R9</t>
        </is>
      </c>
      <c r="C15" t="inlineStr">
        <is>
          <t>Dirac lift</t>
        </is>
      </c>
      <c r="D15" t="inlineStr">
        <is>
          <t>D_G</t>
        </is>
      </c>
      <c r="E15" t="inlineStr">
        <is>
          <t>D_G=[[0,B],[Bᵀ,0]]</t>
        </is>
      </c>
      <c r="F15" t="inlineStr">
        <is>
          <t>bipartite Dirac</t>
        </is>
      </c>
      <c r="G15" t="inlineStr">
        <is>
          <t>operator lift</t>
        </is>
      </c>
      <c r="H15" t="inlineStr">
        <is>
          <t>domain operator doubling</t>
        </is>
      </c>
      <c r="I15" t="inlineStr">
        <is>
          <t>B</t>
        </is>
      </c>
      <c r="J15" t="inlineStr">
        <is>
          <t>CALCULATED</t>
        </is>
      </c>
      <c r="K15" t="inlineStr">
        <is>
          <t>YES</t>
        </is>
      </c>
      <c r="L15" t="inlineStr">
        <is>
          <t>ARBS</t>
        </is>
      </c>
    </row>
    <row r="16">
      <c r="A16" t="inlineStr">
        <is>
          <t>U-011</t>
        </is>
      </c>
      <c r="B16" t="inlineStr">
        <is>
          <t>R10</t>
        </is>
      </c>
      <c r="C16" t="inlineStr">
        <is>
          <t>Spectrum</t>
        </is>
      </c>
      <c r="D16" t="inlineStr">
        <is>
          <t>Spec(L)</t>
        </is>
      </c>
      <c r="E16" t="inlineStr">
        <is>
          <t>Lφ_i=λ_iφ_i</t>
        </is>
      </c>
      <c r="F16" t="inlineStr">
        <is>
          <t>spectral modes</t>
        </is>
      </c>
      <c r="G16" t="inlineStr">
        <is>
          <t>generator modes / relaxation spectrum</t>
        </is>
      </c>
      <c r="H16" t="inlineStr">
        <is>
          <t>organizational modes</t>
        </is>
      </c>
      <c r="I16" t="inlineStr">
        <is>
          <t>L</t>
        </is>
      </c>
      <c r="J16" t="inlineStr">
        <is>
          <t>DERIVED</t>
        </is>
      </c>
      <c r="K16" t="inlineStr">
        <is>
          <t>YES</t>
        </is>
      </c>
      <c r="L16" t="inlineStr">
        <is>
          <t>Spectral recovery</t>
        </is>
      </c>
    </row>
    <row r="17">
      <c r="A17" t="inlineStr">
        <is>
          <t>U-012</t>
        </is>
      </c>
      <c r="B17" t="inlineStr">
        <is>
          <t>R11</t>
        </is>
      </c>
      <c r="C17" t="inlineStr">
        <is>
          <t>Heat / response</t>
        </is>
      </c>
      <c r="D17" t="inlineStr">
        <is>
          <t>K_t</t>
        </is>
      </c>
      <c r="E17" t="inlineStr">
        <is>
          <t>K_t=e^{-tL}</t>
        </is>
      </c>
      <c r="F17" t="inlineStr">
        <is>
          <t>heat kernel</t>
        </is>
      </c>
      <c r="G17" t="inlineStr">
        <is>
          <t>transition semigroup</t>
        </is>
      </c>
      <c r="H17" t="inlineStr">
        <is>
          <t>diffusion/response</t>
        </is>
      </c>
      <c r="I17" t="inlineStr">
        <is>
          <t>L</t>
        </is>
      </c>
      <c r="J17" t="inlineStr">
        <is>
          <t>DERIVED</t>
        </is>
      </c>
      <c r="K17" t="inlineStr">
        <is>
          <t>YES</t>
        </is>
      </c>
      <c r="L17" t="inlineStr">
        <is>
          <t>Spectral recovery</t>
        </is>
      </c>
    </row>
    <row r="18">
      <c r="A18" t="inlineStr">
        <is>
          <t>U-013</t>
        </is>
      </c>
      <c r="B18" t="inlineStr">
        <is>
          <t>R12</t>
        </is>
      </c>
      <c r="C18" t="inlineStr">
        <is>
          <t>Persistence functional</t>
        </is>
      </c>
      <c r="D18" t="inlineStr">
        <is>
          <t>p_A</t>
        </is>
      </c>
      <c r="E18" t="inlineStr">
        <is>
          <t>p_A(t)=Tr(P_+e^{-2tL})/rank(P_+)</t>
        </is>
      </c>
      <c r="F18" t="inlineStr">
        <is>
          <t>active spectral persistence</t>
        </is>
      </c>
      <c r="G18" t="inlineStr">
        <is>
          <t>normalized persistence</t>
        </is>
      </c>
      <c r="H18" t="inlineStr">
        <is>
          <t>persistent organization</t>
        </is>
      </c>
      <c r="I18" t="inlineStr">
        <is>
          <t>Spec(L),P_+</t>
        </is>
      </c>
      <c r="J18" t="inlineStr">
        <is>
          <t>DERIVED</t>
        </is>
      </c>
      <c r="K18" t="inlineStr">
        <is>
          <t>YES</t>
        </is>
      </c>
      <c r="L18" t="inlineStr">
        <is>
          <t>ARBS persistence</t>
        </is>
      </c>
    </row>
    <row r="19">
      <c r="A19" t="inlineStr">
        <is>
          <t>U-014</t>
        </is>
      </c>
      <c r="B19" t="inlineStr">
        <is>
          <t>R13</t>
        </is>
      </c>
      <c r="C19" t="inlineStr">
        <is>
          <t>Partition</t>
        </is>
      </c>
      <c r="D19" t="inlineStr">
        <is>
          <t>Z</t>
        </is>
      </c>
      <c r="E19" t="inlineStr">
        <is>
          <t>Z=Tr(e^{-βL})</t>
        </is>
      </c>
      <c r="F19" t="inlineStr">
        <is>
          <t>spectral partition</t>
        </is>
      </c>
      <c r="G19" t="inlineStr">
        <is>
          <t>statistical partition</t>
        </is>
      </c>
      <c r="H19" t="inlineStr">
        <is>
          <t>state ensemble</t>
        </is>
      </c>
      <c r="I19" t="inlineStr">
        <is>
          <t>Spec(L)</t>
        </is>
      </c>
      <c r="J19" t="inlineStr">
        <is>
          <t>DERIVED</t>
        </is>
      </c>
      <c r="K19" t="inlineStr">
        <is>
          <t>YES</t>
        </is>
      </c>
      <c r="L19" t="inlineStr">
        <is>
          <t>SRC</t>
        </is>
      </c>
    </row>
    <row r="20">
      <c r="A20" t="inlineStr">
        <is>
          <t>U-015</t>
        </is>
      </c>
      <c r="B20" t="inlineStr">
        <is>
          <t>R14</t>
        </is>
      </c>
      <c r="C20" t="inlineStr">
        <is>
          <t>Free energy</t>
        </is>
      </c>
      <c r="D20" t="inlineStr">
        <is>
          <t>F</t>
        </is>
      </c>
      <c r="E20" t="inlineStr">
        <is>
          <t>F=-k_BT ln Z</t>
        </is>
      </c>
      <c r="F20" t="inlineStr">
        <is>
          <t>spectral/statistical potential</t>
        </is>
      </c>
      <c r="G20" t="inlineStr">
        <is>
          <t>free energy</t>
        </is>
      </c>
      <c r="H20" t="inlineStr">
        <is>
          <t>cost / utility analogues</t>
        </is>
      </c>
      <c r="I20" t="inlineStr">
        <is>
          <t>Z</t>
        </is>
      </c>
      <c r="J20" t="inlineStr">
        <is>
          <t>DERIVED</t>
        </is>
      </c>
      <c r="K20" t="inlineStr">
        <is>
          <t>YES</t>
        </is>
      </c>
      <c r="L20" t="inlineStr">
        <is>
          <t>SRC</t>
        </is>
      </c>
    </row>
    <row r="21">
      <c r="A21" t="inlineStr">
        <is>
          <t>U-016</t>
        </is>
      </c>
      <c r="B21" t="inlineStr">
        <is>
          <t>R15</t>
        </is>
      </c>
      <c r="C21" t="inlineStr">
        <is>
          <t>Information metric</t>
        </is>
      </c>
      <c r="D21" t="inlineStr">
        <is>
          <t>g^F</t>
        </is>
      </c>
      <c r="E21" t="inlineStr">
        <is>
          <t>g^F_{ij}=I_{ij}</t>
        </is>
      </c>
      <c r="F21" t="inlineStr">
        <is>
          <t>information geometry</t>
        </is>
      </c>
      <c r="G21" t="inlineStr">
        <is>
          <t>Fisher–Rao geometry</t>
        </is>
      </c>
      <c r="H21" t="inlineStr">
        <is>
          <t>state-space sensitivity</t>
        </is>
      </c>
      <c r="I21" t="inlineStr">
        <is>
          <t>I_F</t>
        </is>
      </c>
      <c r="J21" t="inlineStr">
        <is>
          <t>DERIVED</t>
        </is>
      </c>
      <c r="K21" t="inlineStr">
        <is>
          <t>YES</t>
        </is>
      </c>
      <c r="L21" t="inlineStr">
        <is>
          <t>SRC</t>
        </is>
      </c>
    </row>
    <row r="22">
      <c r="A22" t="inlineStr">
        <is>
          <t>U-017</t>
        </is>
      </c>
      <c r="B22" t="inlineStr">
        <is>
          <t>R16</t>
        </is>
      </c>
      <c r="C22" t="inlineStr">
        <is>
          <t>Distance</t>
        </is>
      </c>
      <c r="D22" t="inlineStr">
        <is>
          <t>d</t>
        </is>
      </c>
      <c r="E22" t="inlineStr">
        <is>
          <t>spectral/relational distance</t>
        </is>
      </c>
      <c r="F22" t="inlineStr">
        <is>
          <t>spectral distance</t>
        </is>
      </c>
      <c r="G22" t="inlineStr">
        <is>
          <t>information distance</t>
        </is>
      </c>
      <c r="H22" t="inlineStr">
        <is>
          <t>relational distance</t>
        </is>
      </c>
      <c r="I22" t="inlineStr">
        <is>
          <t>Π,Spec(L)</t>
        </is>
      </c>
      <c r="J22" t="inlineStr">
        <is>
          <t>DERIVED</t>
        </is>
      </c>
      <c r="K22" t="inlineStr">
        <is>
          <t>YES</t>
        </is>
      </c>
      <c r="L22" t="inlineStr">
        <is>
          <t>SEIT</t>
        </is>
      </c>
    </row>
    <row r="23">
      <c r="A23" t="inlineStr">
        <is>
          <t>U-018</t>
        </is>
      </c>
      <c r="B23" t="inlineStr">
        <is>
          <t>R17</t>
        </is>
      </c>
      <c r="C23" t="inlineStr">
        <is>
          <t>Metric</t>
        </is>
      </c>
      <c r="D23" t="inlineStr">
        <is>
          <t>g</t>
        </is>
      </c>
      <c r="E23" t="inlineStr">
        <is>
          <t>g_{μν}</t>
        </is>
      </c>
      <c r="F23" t="inlineStr">
        <is>
          <t>spacetime metric</t>
        </is>
      </c>
      <c r="G23" t="inlineStr">
        <is>
          <t>information metric analogue</t>
        </is>
      </c>
      <c r="H23" t="inlineStr">
        <is>
          <t>domain relational geometry</t>
        </is>
      </c>
      <c r="I23" t="inlineStr">
        <is>
          <t>d</t>
        </is>
      </c>
      <c r="J23" t="inlineStr">
        <is>
          <t>DERIVED</t>
        </is>
      </c>
      <c r="K23" t="inlineStr">
        <is>
          <t>YES</t>
        </is>
      </c>
      <c r="L23" t="inlineStr">
        <is>
          <t>SEIT / Rosetta</t>
        </is>
      </c>
    </row>
    <row r="24">
      <c r="A24" t="inlineStr">
        <is>
          <t>U-019</t>
        </is>
      </c>
      <c r="B24" t="inlineStr">
        <is>
          <t>R18</t>
        </is>
      </c>
      <c r="C24" t="inlineStr">
        <is>
          <t>Connection</t>
        </is>
      </c>
      <c r="D24" t="inlineStr">
        <is>
          <t>∇</t>
        </is>
      </c>
      <c r="E24" t="inlineStr">
        <is>
          <t>Γ^ρ_{μν}=1/2g^{ρσ}(...)</t>
        </is>
      </c>
      <c r="F24" t="inlineStr">
        <is>
          <t>Levi-Civita connection</t>
        </is>
      </c>
      <c r="G24" t="inlineStr">
        <is>
          <t>Fisher connection</t>
        </is>
      </c>
      <c r="H24" t="inlineStr">
        <is>
          <t>transport/connection structure</t>
        </is>
      </c>
      <c r="I24" t="inlineStr">
        <is>
          <t>g</t>
        </is>
      </c>
      <c r="J24" t="inlineStr">
        <is>
          <t>DERIVED</t>
        </is>
      </c>
      <c r="K24" t="inlineStr">
        <is>
          <t>YES</t>
        </is>
      </c>
      <c r="L24" t="inlineStr">
        <is>
          <t>Geometry recovery</t>
        </is>
      </c>
    </row>
    <row r="25">
      <c r="A25" t="inlineStr">
        <is>
          <t>U-020</t>
        </is>
      </c>
      <c r="B25" t="inlineStr">
        <is>
          <t>R19</t>
        </is>
      </c>
      <c r="C25" t="inlineStr">
        <is>
          <t>Curvature</t>
        </is>
      </c>
      <c r="D25" t="inlineStr">
        <is>
          <t>R</t>
        </is>
      </c>
      <c r="E25" t="inlineStr">
        <is>
          <t>Riemann→Ricci→scalar</t>
        </is>
      </c>
      <c r="F25" t="inlineStr">
        <is>
          <t>spacetime curvature</t>
        </is>
      </c>
      <c r="G25" t="inlineStr">
        <is>
          <t>information-manifold curvature</t>
        </is>
      </c>
      <c r="H25" t="inlineStr">
        <is>
          <t>landscape curvature</t>
        </is>
      </c>
      <c r="I25" t="inlineStr">
        <is>
          <t>∇</t>
        </is>
      </c>
      <c r="J25" t="inlineStr">
        <is>
          <t>DERIVED</t>
        </is>
      </c>
      <c r="K25" t="inlineStr">
        <is>
          <t>YES</t>
        </is>
      </c>
      <c r="L25" t="inlineStr">
        <is>
          <t>Geometry / SRC</t>
        </is>
      </c>
    </row>
    <row r="26">
      <c r="A26" t="inlineStr">
        <is>
          <t>U-021</t>
        </is>
      </c>
      <c r="B26" t="inlineStr">
        <is>
          <t>R20</t>
        </is>
      </c>
      <c r="C26" t="inlineStr">
        <is>
          <t>Field tensor</t>
        </is>
      </c>
      <c r="D26" t="inlineStr">
        <is>
          <t>G_{μν}</t>
        </is>
      </c>
      <c r="E26" t="inlineStr">
        <is>
          <t>G_{μν}=R_{μν}-1/2Rg_{μν}</t>
        </is>
      </c>
      <c r="F26" t="inlineStr">
        <is>
          <t>Einstein tensor</t>
        </is>
      </c>
      <c r="G26" t="inlineStr">
        <is>
          <t>information Einstein tensor</t>
        </is>
      </c>
      <c r="H26" t="inlineStr">
        <is>
          <t>effective field law</t>
        </is>
      </c>
      <c r="I26" t="inlineStr">
        <is>
          <t>R,g</t>
        </is>
      </c>
      <c r="J26" t="inlineStr">
        <is>
          <t>DERIVED</t>
        </is>
      </c>
      <c r="K26" t="inlineStr">
        <is>
          <t>YES</t>
        </is>
      </c>
      <c r="L26" t="inlineStr">
        <is>
          <t>PRC / SRC</t>
        </is>
      </c>
    </row>
    <row r="27">
      <c r="A27" t="inlineStr">
        <is>
          <t>U-022</t>
        </is>
      </c>
      <c r="B27" t="inlineStr">
        <is>
          <t>R21</t>
        </is>
      </c>
      <c r="C27" t="inlineStr">
        <is>
          <t>Variational</t>
        </is>
      </c>
      <c r="D27" t="inlineStr">
        <is>
          <t>S</t>
        </is>
      </c>
      <c r="E27" t="inlineStr">
        <is>
          <t>δS=0 → Euler–Lagrange</t>
        </is>
      </c>
      <c r="F27" t="inlineStr">
        <is>
          <t>Einstein-Hilbert / field actions</t>
        </is>
      </c>
      <c r="G27" t="inlineStr">
        <is>
          <t>free-energy / information functionals</t>
        </is>
      </c>
      <c r="H27" t="inlineStr">
        <is>
          <t>action / cost / utility</t>
        </is>
      </c>
      <c r="I27" t="inlineStr">
        <is>
          <t>state,metric,functional</t>
        </is>
      </c>
      <c r="J27" t="inlineStr">
        <is>
          <t>VERIFIED</t>
        </is>
      </c>
      <c r="K27" t="inlineStr">
        <is>
          <t>YES</t>
        </is>
      </c>
      <c r="L27" t="inlineStr">
        <is>
          <t>VCL / Rosetta</t>
        </is>
      </c>
    </row>
    <row r="28">
      <c r="A28" t="inlineStr">
        <is>
          <t>U-023</t>
        </is>
      </c>
      <c r="B28" t="inlineStr">
        <is>
          <t>R22</t>
        </is>
      </c>
      <c r="C28" t="inlineStr">
        <is>
          <t>Quantum</t>
        </is>
      </c>
      <c r="D28" t="inlineStr">
        <is>
          <t>𝒟</t>
        </is>
      </c>
      <c r="E28" t="inlineStr">
        <is>
          <t>𝒟²=L⊗I_spin</t>
        </is>
      </c>
      <c r="F28" t="inlineStr">
        <is>
          <t>Dirac operator</t>
        </is>
      </c>
      <c r="G28" t="inlineStr">
        <is>
          <t>quantum generator</t>
        </is>
      </c>
      <c r="H28" t="inlineStr">
        <is>
          <t>operator realization</t>
        </is>
      </c>
      <c r="I28" t="inlineStr">
        <is>
          <t>L</t>
        </is>
      </c>
      <c r="J28" t="inlineStr">
        <is>
          <t>DERIVED</t>
        </is>
      </c>
      <c r="K28" t="inlineStr">
        <is>
          <t>YES</t>
        </is>
      </c>
      <c r="L28" t="inlineStr">
        <is>
          <t>QRC</t>
        </is>
      </c>
    </row>
    <row r="29">
      <c r="A29" t="inlineStr">
        <is>
          <t>U-024</t>
        </is>
      </c>
      <c r="B29" t="inlineStr">
        <is>
          <t>R23</t>
        </is>
      </c>
      <c r="C29" t="inlineStr">
        <is>
          <t>Gauge</t>
        </is>
      </c>
      <c r="D29" t="inlineStr">
        <is>
          <t>D_μ,F_{μν}</t>
        </is>
      </c>
      <c r="E29" t="inlineStr">
        <is>
          <t>D_μ=∂_μ-igA_μ; F_{μν}=...</t>
        </is>
      </c>
      <c r="F29" t="inlineStr">
        <is>
          <t>gauge connection/curvature</t>
        </is>
      </c>
      <c r="G29" t="inlineStr">
        <is>
          <t>covariant transport</t>
        </is>
      </c>
      <c r="H29" t="inlineStr">
        <is>
          <t>interaction connection</t>
        </is>
      </c>
      <c r="I29" t="inlineStr">
        <is>
          <t>representation</t>
        </is>
      </c>
      <c r="J29" t="inlineStr">
        <is>
          <t>DERIVED</t>
        </is>
      </c>
      <c r="K29" t="inlineStr">
        <is>
          <t>YES</t>
        </is>
      </c>
      <c r="L29" t="inlineStr">
        <is>
          <t>NCG / Gauge</t>
        </is>
      </c>
    </row>
    <row r="30">
      <c r="A30" t="inlineStr">
        <is>
          <t>U-025</t>
        </is>
      </c>
      <c r="B30" t="inlineStr">
        <is>
          <t>R24</t>
        </is>
      </c>
      <c r="C30" t="inlineStr">
        <is>
          <t>Finite representation</t>
        </is>
      </c>
      <c r="D30" t="inlineStr">
        <is>
          <t>(A_F,H_F,J_F,γ_F,D_F)</t>
        </is>
      </c>
      <c r="E30" t="inlineStr">
        <is>
          <t>finite spectral triple data</t>
        </is>
      </c>
      <c r="F30" t="inlineStr">
        <is>
          <t>matter representation</t>
        </is>
      </c>
      <c r="G30" t="inlineStr">
        <is>
          <t>typed state/observable representation</t>
        </is>
      </c>
      <c r="H30" t="inlineStr">
        <is>
          <t>domain type system</t>
        </is>
      </c>
      <c r="I30" t="inlineStr">
        <is>
          <t>representation</t>
        </is>
      </c>
      <c r="J30" t="inlineStr">
        <is>
          <t>DERIVED</t>
        </is>
      </c>
      <c r="K30" t="inlineStr">
        <is>
          <t>YES</t>
        </is>
      </c>
      <c r="L30" t="inlineStr">
        <is>
          <t>NCG</t>
        </is>
      </c>
    </row>
    <row r="31">
      <c r="A31" t="inlineStr">
        <is>
          <t>U-026</t>
        </is>
      </c>
      <c r="B31" t="inlineStr">
        <is>
          <t>R25</t>
        </is>
      </c>
      <c r="C31" t="inlineStr">
        <is>
          <t>Gauge group</t>
        </is>
      </c>
      <c r="D31" t="inlineStr">
        <is>
          <t>G_SM</t>
        </is>
      </c>
      <c r="E31" t="inlineStr">
        <is>
          <t>SU(3)×SU(2)×U(1)</t>
        </is>
      </c>
      <c r="F31" t="inlineStr">
        <is>
          <t>SM gauge group</t>
        </is>
      </c>
      <c r="G31" t="inlineStr">
        <is>
          <t>—</t>
        </is>
      </c>
      <c r="H31" t="inlineStr">
        <is>
          <t>domain symmetry group</t>
        </is>
      </c>
      <c r="I31" t="inlineStr">
        <is>
          <t>finite representation</t>
        </is>
      </c>
      <c r="J31" t="inlineStr">
        <is>
          <t>VERIFIED</t>
        </is>
      </c>
      <c r="K31" t="inlineStr">
        <is>
          <t>YES</t>
        </is>
      </c>
      <c r="L31" t="inlineStr">
        <is>
          <t>Prior project result</t>
        </is>
      </c>
    </row>
    <row r="32">
      <c r="A32" t="inlineStr">
        <is>
          <t>U-027</t>
        </is>
      </c>
      <c r="B32" t="inlineStr">
        <is>
          <t>R26</t>
        </is>
      </c>
      <c r="C32" t="inlineStr">
        <is>
          <t>Matter</t>
        </is>
      </c>
      <c r="D32" t="inlineStr">
        <is>
          <t>Y_f</t>
        </is>
      </c>
      <c r="E32" t="inlineStr">
        <is>
          <t>D_F→Y_u,Y_d,Y_e,Y_ν</t>
        </is>
      </c>
      <c r="F32" t="inlineStr">
        <is>
          <t>Yukawa/mass operators</t>
        </is>
      </c>
      <c r="G32" t="inlineStr">
        <is>
          <t>—</t>
        </is>
      </c>
      <c r="H32" t="inlineStr">
        <is>
          <t>typed transformations</t>
        </is>
      </c>
      <c r="I32" t="inlineStr">
        <is>
          <t>D_F,Φ_H</t>
        </is>
      </c>
      <c r="J32" t="inlineStr">
        <is>
          <t>DERIVED</t>
        </is>
      </c>
      <c r="K32" t="inlineStr">
        <is>
          <t>YES</t>
        </is>
      </c>
      <c r="L32" t="inlineStr">
        <is>
          <t>Matter branch</t>
        </is>
      </c>
    </row>
    <row r="33">
      <c r="A33" t="inlineStr">
        <is>
          <t>U-028</t>
        </is>
      </c>
      <c r="B33" t="inlineStr">
        <is>
          <t>R27</t>
        </is>
      </c>
      <c r="C33" t="inlineStr">
        <is>
          <t>Flavor</t>
        </is>
      </c>
      <c r="D33" t="inlineStr">
        <is>
          <t>V_CKM,U_PMNS</t>
        </is>
      </c>
      <c r="E33" t="inlineStr">
        <is>
          <t>U_{u,L}†U_{d,L}; U_{e,L}†U_{ν,L}</t>
        </is>
      </c>
      <c r="F33" t="inlineStr">
        <is>
          <t>mixing matrices</t>
        </is>
      </c>
      <c r="G33" t="inlineStr">
        <is>
          <t>—</t>
        </is>
      </c>
      <c r="H33" t="inlineStr">
        <is>
          <t>transition/mixing maps</t>
        </is>
      </c>
      <c r="I33" t="inlineStr">
        <is>
          <t>Y_f</t>
        </is>
      </c>
      <c r="J33" t="inlineStr">
        <is>
          <t>DERIVED</t>
        </is>
      </c>
      <c r="K33" t="inlineStr">
        <is>
          <t>YES</t>
        </is>
      </c>
      <c r="L33" t="inlineStr">
        <is>
          <t>Flavor branch</t>
        </is>
      </c>
    </row>
    <row r="34">
      <c r="A34" t="inlineStr">
        <is>
          <t>U-029</t>
        </is>
      </c>
      <c r="B34" t="inlineStr">
        <is>
          <t>R28</t>
        </is>
      </c>
      <c r="C34" t="inlineStr">
        <is>
          <t>Continuum</t>
        </is>
      </c>
      <c r="D34" t="inlineStr">
        <is>
          <t>g,R,G</t>
        </is>
      </c>
      <c r="E34" t="inlineStr">
        <is>
          <t>discrete→continuum geometry</t>
        </is>
      </c>
      <c r="F34" t="inlineStr">
        <is>
          <t>continuum information geometry</t>
        </is>
      </c>
      <c r="G34" t="inlineStr">
        <is>
          <t>macroscopic field/landscape</t>
        </is>
      </c>
      <c r="H34" t="inlineStr">
        <is>
          <t>d,Π</t>
        </is>
      </c>
      <c r="I34" t="inlineStr">
        <is>
          <t>DERIVED</t>
        </is>
      </c>
      <c r="J34" t="inlineStr">
        <is>
          <t>YES</t>
        </is>
      </c>
      <c r="K34" t="inlineStr">
        <is>
          <t>SEIT / continuum</t>
        </is>
      </c>
    </row>
    <row r="35">
      <c r="A35" t="inlineStr">
        <is>
          <t>U-030</t>
        </is>
      </c>
      <c r="B35" t="inlineStr">
        <is>
          <t>R29</t>
        </is>
      </c>
      <c r="C35" t="inlineStr">
        <is>
          <t>Yang–Mills</t>
        </is>
      </c>
      <c r="D35" t="inlineStr">
        <is>
          <t>YM</t>
        </is>
      </c>
      <c r="E35" t="inlineStr">
        <is>
          <t>gauge action → field equations</t>
        </is>
      </c>
      <c r="F35" t="inlineStr">
        <is>
          <t>gauge field dynamics</t>
        </is>
      </c>
      <c r="G35" t="inlineStr">
        <is>
          <t>transport dynamics</t>
        </is>
      </c>
      <c r="H35" t="inlineStr">
        <is>
          <t>field interaction laws</t>
        </is>
      </c>
      <c r="I35" t="inlineStr">
        <is>
          <t>gauge representation</t>
        </is>
      </c>
      <c r="J35" t="inlineStr">
        <is>
          <t>DERIVED</t>
        </is>
      </c>
      <c r="K35" t="inlineStr">
        <is>
          <t>YES</t>
        </is>
      </c>
      <c r="L35" t="inlineStr">
        <is>
          <t>Gauge recovery</t>
        </is>
      </c>
    </row>
    <row r="36">
      <c r="A36" t="inlineStr">
        <is>
          <t>U-031</t>
        </is>
      </c>
      <c r="B36" t="inlineStr">
        <is>
          <t>R30</t>
        </is>
      </c>
      <c r="C36" t="inlineStr">
        <is>
          <t>Thermodynamics</t>
        </is>
      </c>
      <c r="D36" t="inlineStr">
        <is>
          <t>e,S^μ,q^μ</t>
        </is>
      </c>
      <c r="E36" t="inlineStr">
        <is>
          <t>e=E/ρ−1/2u²; q^μ=−κ∇^μT</t>
        </is>
      </c>
      <c r="F36" t="inlineStr">
        <is>
          <t>entropy/current/flux</t>
        </is>
      </c>
      <c r="G36" t="inlineStr">
        <is>
          <t>thermodynamic organization</t>
        </is>
      </c>
      <c r="H36" t="inlineStr">
        <is>
          <t>flow/transport</t>
        </is>
      </c>
      <c r="I36" t="inlineStr">
        <is>
          <t>state + constraint</t>
        </is>
      </c>
      <c r="J36" t="inlineStr">
        <is>
          <t>VERIFIED</t>
        </is>
      </c>
      <c r="K36" t="inlineStr">
        <is>
          <t>YES</t>
        </is>
      </c>
      <c r="L36" t="inlineStr">
        <is>
          <t>TRC</t>
        </is>
      </c>
    </row>
    <row r="37">
      <c r="A37" t="inlineStr">
        <is>
          <t>U-032</t>
        </is>
      </c>
      <c r="B37" t="inlineStr">
        <is>
          <t>R31</t>
        </is>
      </c>
      <c r="C37" t="inlineStr">
        <is>
          <t>Scale</t>
        </is>
      </c>
      <c r="D37" t="inlineStr">
        <is>
          <t>b_0,Λ_trans,ℓ_*</t>
        </is>
      </c>
      <c r="E37" t="inlineStr">
        <is>
          <t>Λ_trans=μ exp[-8π²/(b_0g²(μ))]</t>
        </is>
      </c>
      <c r="F37" t="inlineStr">
        <is>
          <t>intrinsic scale branch</t>
        </is>
      </c>
      <c r="G37" t="inlineStr">
        <is>
          <t>statistical scale</t>
        </is>
      </c>
      <c r="H37" t="inlineStr">
        <is>
          <t>domain scale</t>
        </is>
      </c>
      <c r="I37" t="inlineStr">
        <is>
          <t>representation→RG</t>
        </is>
      </c>
      <c r="J37" t="inlineStr">
        <is>
          <t>DERIVED</t>
        </is>
      </c>
      <c r="K37" t="inlineStr">
        <is>
          <t>YES</t>
        </is>
      </c>
      <c r="L37" t="inlineStr">
        <is>
          <t>Scale branch</t>
        </is>
      </c>
    </row>
    <row r="38">
      <c r="A38" t="inlineStr">
        <is>
          <t>U-033</t>
        </is>
      </c>
      <c r="B38" t="inlineStr">
        <is>
          <t>R32</t>
        </is>
      </c>
      <c r="C38" t="inlineStr">
        <is>
          <t>Universal compiler</t>
        </is>
      </c>
      <c r="D38" t="inlineStr">
        <is>
          <t>UOC</t>
        </is>
      </c>
      <c r="E38" t="inlineStr">
        <is>
          <t>Domain→canonical IR→representation</t>
        </is>
      </c>
      <c r="F38" t="inlineStr">
        <is>
          <t>physics compiler</t>
        </is>
      </c>
      <c r="G38" t="inlineStr">
        <is>
          <t>statistical/thermo compiler</t>
        </is>
      </c>
      <c r="H38" t="inlineStr">
        <is>
          <t>cross-domain compiler</t>
        </is>
      </c>
      <c r="I38" t="inlineStr">
        <is>
          <t>Γ,MDCL</t>
        </is>
      </c>
      <c r="J38" t="inlineStr">
        <is>
          <t>DERIVED</t>
        </is>
      </c>
      <c r="K38" t="inlineStr">
        <is>
          <t>YES</t>
        </is>
      </c>
      <c r="L38" t="inlineStr">
        <is>
          <t>URS architecture</t>
        </is>
      </c>
    </row>
    <row r="39">
      <c r="A39" t="inlineStr">
        <is>
          <t>U-034</t>
        </is>
      </c>
      <c r="B39" t="inlineStr">
        <is>
          <t>R33</t>
        </is>
      </c>
      <c r="C39" t="inlineStr">
        <is>
          <t>Translation</t>
        </is>
      </c>
      <c r="D39" t="inlineStr">
        <is>
          <t>ℛ_α</t>
        </is>
      </c>
      <c r="E39" t="inlineStr">
        <is>
          <t>ℛ_α:Domain_α↔UOC</t>
        </is>
      </c>
      <c r="F39" t="inlineStr">
        <is>
          <t>physics realization</t>
        </is>
      </c>
      <c r="G39" t="inlineStr">
        <is>
          <t>information/statistical realization</t>
        </is>
      </c>
      <c r="H39" t="inlineStr">
        <is>
          <t>domain-specific realization</t>
        </is>
      </c>
      <c r="I39" t="inlineStr">
        <is>
          <t>UOC</t>
        </is>
      </c>
      <c r="J39" t="inlineStr">
        <is>
          <t>DERIVED</t>
        </is>
      </c>
      <c r="K39" t="inlineStr">
        <is>
          <t>YES</t>
        </is>
      </c>
      <c r="L39" t="inlineStr">
        <is>
          <t>Universal Rosetta</t>
        </is>
      </c>
    </row>
  </sheetData>
  <mergeCells count="2">
    <mergeCell ref="A2:L2"/>
    <mergeCell ref="A1:L1"/>
  </mergeCells>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tabColor rgb="002F5D8C"/>
    <outlinePr summaryBelow="1" summaryRight="1"/>
    <pageSetUpPr/>
  </sheetPr>
  <dimension ref="A1:I12"/>
  <sheetViews>
    <sheetView showGridLines="0" zoomScale="85" workbookViewId="0">
      <pane ySplit="3" topLeftCell="A4" activePane="bottomLeft" state="frozen"/>
      <selection pane="bottomLeft" activeCell="A1" sqref="A1"/>
    </sheetView>
  </sheetViews>
  <sheetFormatPr baseColWidth="8" defaultRowHeight="15"/>
  <cols>
    <col width="24" customWidth="1" min="1" max="1"/>
    <col width="24" customWidth="1" min="2" max="2"/>
    <col width="38" customWidth="1" min="3" max="3"/>
    <col width="40" customWidth="1" min="4" max="4"/>
    <col width="42" customWidth="1" min="5" max="5"/>
    <col width="42" customWidth="1" min="6" max="6"/>
    <col width="42" customWidth="1" min="7" max="7"/>
    <col width="42" customWidth="1" min="8" max="8"/>
    <col width="48" customWidth="1" min="9" max="9"/>
  </cols>
  <sheetData>
    <row r="1" ht="32" customHeight="1">
      <c r="A1" s="1" t="inlineStr">
        <is>
          <t>DTC ROSETTA TRANS-COMPILATION MATRIX</t>
        </is>
      </c>
    </row>
    <row r="2" ht="34" customHeight="1">
      <c r="A2" s="12" t="inlineStr">
        <is>
          <t>Source-derived matrix mapping the DTC grammar into GR, QM/QFT, non-equilibrium thermodynamics, active-inference neuroscience, and dynamic-market representations.</t>
        </is>
      </c>
    </row>
    <row r="5" ht="30" customHeight="1">
      <c r="A5" s="11" t="inlineStr">
        <is>
          <t>DTC object</t>
        </is>
      </c>
      <c r="B5" s="11" t="inlineStr">
        <is>
          <t>Compiler role</t>
        </is>
      </c>
      <c r="C5" s="11" t="inlineStr">
        <is>
          <t>GR</t>
        </is>
      </c>
      <c r="D5" s="11" t="inlineStr">
        <is>
          <t>QM / QFT</t>
        </is>
      </c>
      <c r="E5" s="11" t="inlineStr">
        <is>
          <t>Non-equilibrium thermodynamics</t>
        </is>
      </c>
      <c r="F5" s="11" t="inlineStr">
        <is>
          <t>Neuroscience / active inference</t>
        </is>
      </c>
      <c r="G5" s="11" t="inlineStr">
        <is>
          <t>Macroeconomics / dynamic market</t>
        </is>
      </c>
      <c r="H5" s="11" t="inlineStr">
        <is>
          <t>Universal interpretation</t>
        </is>
      </c>
      <c r="I5" s="11" t="inlineStr">
        <is>
          <t>Source</t>
        </is>
      </c>
    </row>
    <row r="6">
      <c r="A6" t="inlineStr">
        <is>
          <t>State vector y^c</t>
        </is>
      </c>
      <c r="B6" t="inlineStr">
        <is>
          <t>Minimal state coordinates</t>
        </is>
      </c>
      <c r="C6" t="inlineStr">
        <is>
          <t>x^μ</t>
        </is>
      </c>
      <c r="D6" t="inlineStr">
        <is>
          <t>φ(x), Ψ(t)</t>
        </is>
      </c>
      <c r="E6" t="inlineStr">
        <is>
          <t>U,V,N</t>
        </is>
      </c>
      <c r="F6" t="inlineStr">
        <is>
          <t>μ</t>
        </is>
      </c>
      <c r="G6" t="inlineStr">
        <is>
          <t>K_i,c_t</t>
        </is>
      </c>
      <c r="H6" t="inlineStr">
        <is>
          <t>state localization</t>
        </is>
      </c>
      <c r="I6" t="inlineStr">
        <is>
          <t>Universal Derivation Protocol</t>
        </is>
      </c>
    </row>
    <row r="7">
      <c r="A7" t="inlineStr">
        <is>
          <t>Metric fabric g_ab</t>
        </is>
      </c>
      <c r="B7" t="inlineStr">
        <is>
          <t>Distance/cost/connection</t>
        </is>
      </c>
      <c r="C7" t="inlineStr">
        <is>
          <t>g_{μν}</t>
        </is>
      </c>
      <c r="D7" t="inlineStr">
        <is>
          <t>γ_ab / Fubini–Study</t>
        </is>
      </c>
      <c r="E7" t="inlineStr">
        <is>
          <t>−∂²S/∂y^a∂y^b</t>
        </is>
      </c>
      <c r="F7" t="inlineStr">
        <is>
          <t>I_ij(μ)</t>
        </is>
      </c>
      <c r="G7" t="inlineStr">
        <is>
          <t>ε_ij</t>
        </is>
      </c>
      <c r="H7" t="inlineStr">
        <is>
          <t>relational geometry</t>
        </is>
      </c>
      <c r="I7" t="inlineStr">
        <is>
          <t>Universal Derivation Protocol</t>
        </is>
      </c>
    </row>
    <row r="8">
      <c r="A8" t="inlineStr">
        <is>
          <t>Transport connection Γ^c_ab</t>
        </is>
      </c>
      <c r="B8" t="inlineStr">
        <is>
          <t>Transition/transport rule</t>
        </is>
      </c>
      <c r="C8" t="inlineStr">
        <is>
          <t>Γ^μ_{αβ}</t>
        </is>
      </c>
      <c r="D8" t="inlineStr">
        <is>
          <t>A_μ / holonomies</t>
        </is>
      </c>
      <c r="E8" t="inlineStr">
        <is>
          <t>L^{ik}</t>
        </is>
      </c>
      <c r="F8" t="inlineStr">
        <is>
          <t>W</t>
        </is>
      </c>
      <c r="G8" t="inlineStr">
        <is>
          <t>F_ij</t>
        </is>
      </c>
      <c r="H8" t="inlineStr">
        <is>
          <t>transport structure</t>
        </is>
      </c>
      <c r="I8" t="inlineStr">
        <is>
          <t>Universal Derivation Protocol</t>
        </is>
      </c>
    </row>
    <row r="9">
      <c r="A9" t="inlineStr">
        <is>
          <t>Governing functional I_F</t>
        </is>
      </c>
      <c r="B9" t="inlineStr">
        <is>
          <t>Scalar drive / variation generator</t>
        </is>
      </c>
      <c r="C9" t="inlineStr">
        <is>
          <t>S_EH=∫R√−g d⁴x</t>
        </is>
      </c>
      <c r="D9" t="inlineStr">
        <is>
          <t>S[φ]=∫ℒd⁴x</t>
        </is>
      </c>
      <c r="E9" t="inlineStr">
        <is>
          <t>entropy production / free energy</t>
        </is>
      </c>
      <c r="F9" t="inlineStr">
        <is>
          <t>variational free-energy functional</t>
        </is>
      </c>
      <c r="G9" t="inlineStr">
        <is>
          <t>utility/cost functional</t>
        </is>
      </c>
      <c r="H9" t="inlineStr">
        <is>
          <t>variational driver</t>
        </is>
      </c>
      <c r="I9" t="inlineStr">
        <is>
          <t>Universal Derivation Protocol</t>
        </is>
      </c>
    </row>
    <row r="10">
      <c r="A10" t="inlineStr">
        <is>
          <t>Distinction D</t>
        </is>
      </c>
      <c r="B10" t="inlineStr">
        <is>
          <t>Raw observation→typed state</t>
        </is>
      </c>
      <c r="C10" t="inlineStr">
        <is>
          <t>spacetime localization</t>
        </is>
      </c>
      <c r="D10" t="inlineStr">
        <is>
          <t>state/wavefunction distinction</t>
        </is>
      </c>
      <c r="E10" t="inlineStr">
        <is>
          <t>macrostate distinction</t>
        </is>
      </c>
      <c r="F10" t="inlineStr">
        <is>
          <t>belief/state distinction</t>
        </is>
      </c>
      <c r="G10" t="inlineStr">
        <is>
          <t>asset/state distinction</t>
        </is>
      </c>
      <c r="H10" t="inlineStr">
        <is>
          <t>separation of admissible states</t>
        </is>
      </c>
      <c r="I10" t="inlineStr">
        <is>
          <t>Universal Derivation Protocol</t>
        </is>
      </c>
    </row>
    <row r="11">
      <c r="A11" t="inlineStr">
        <is>
          <t>Transformation T</t>
        </is>
      </c>
      <c r="B11" t="inlineStr">
        <is>
          <t>Active change→operator</t>
        </is>
      </c>
      <c r="C11" t="inlineStr">
        <is>
          <t>diffeomorphism/field evolution</t>
        </is>
      </c>
      <c r="D11" t="inlineStr">
        <is>
          <t>unitary/operator evolution</t>
        </is>
      </c>
      <c r="E11" t="inlineStr">
        <is>
          <t>transport/production</t>
        </is>
      </c>
      <c r="F11" t="inlineStr">
        <is>
          <t>belief/state update</t>
        </is>
      </c>
      <c r="G11" t="inlineStr">
        <is>
          <t>market dynamics</t>
        </is>
      </c>
      <c r="H11" t="inlineStr">
        <is>
          <t>state transition</t>
        </is>
      </c>
      <c r="I11" t="inlineStr">
        <is>
          <t>Universal Derivation Protocol</t>
        </is>
      </c>
    </row>
    <row r="12">
      <c r="A12" t="inlineStr">
        <is>
          <t>Constraint C</t>
        </is>
      </c>
      <c r="B12" t="inlineStr">
        <is>
          <t>Structural restriction</t>
        </is>
      </c>
      <c r="C12" t="inlineStr">
        <is>
          <t>conservation/boundary</t>
        </is>
      </c>
      <c r="D12" t="inlineStr">
        <is>
          <t>symmetry/commutator constraints</t>
        </is>
      </c>
      <c r="E12" t="inlineStr">
        <is>
          <t>thermodynamic inequalities</t>
        </is>
      </c>
      <c r="F12" t="inlineStr">
        <is>
          <t>prior/likelihood constraints</t>
        </is>
      </c>
      <c r="G12" t="inlineStr">
        <is>
          <t>regulatory/friction constraints</t>
        </is>
      </c>
      <c r="H12" t="inlineStr">
        <is>
          <t>admissibility</t>
        </is>
      </c>
      <c r="I12" t="inlineStr">
        <is>
          <t>Universal Derivation Protocol</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tabColor rgb="002B7A78"/>
    <outlinePr summaryBelow="1" summaryRight="1"/>
    <pageSetUpPr/>
  </sheetPr>
  <dimension ref="A1:G26"/>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44" customWidth="1" min="3" max="3"/>
    <col width="44" customWidth="1" min="4" max="4"/>
    <col width="28" customWidth="1" min="5" max="5"/>
    <col width="28" customWidth="1" min="6" max="6"/>
    <col width="46" customWidth="1" min="7" max="7"/>
  </cols>
  <sheetData>
    <row r="1" ht="32" customHeight="1">
      <c r="A1" s="1" t="inlineStr">
        <is>
          <t>UMCC T0–T20 ORGANIZATIONAL HIERARCHY</t>
        </is>
      </c>
    </row>
    <row r="2" ht="34" customHeight="1">
      <c r="A2" s="12" t="inlineStr">
        <is>
          <t>Historical source matrix retained as a translation hierarchy; it is not treated as a replacement for the active canonical DTC grammar.</t>
        </is>
      </c>
    </row>
    <row r="5" ht="30" customHeight="1">
      <c r="A5" s="11" t="inlineStr">
        <is>
          <t>T-level</t>
        </is>
      </c>
      <c r="B5" s="11" t="inlineStr">
        <is>
          <t>Concept</t>
        </is>
      </c>
      <c r="C5" s="11" t="inlineStr">
        <is>
          <t>Dependency role</t>
        </is>
      </c>
      <c r="D5" s="11" t="inlineStr">
        <is>
          <t>Rosetta interpretation</t>
        </is>
      </c>
      <c r="E5" s="11" t="inlineStr">
        <is>
          <t>Status in archive</t>
        </is>
      </c>
      <c r="F5" s="11" t="inlineStr">
        <is>
          <t>Active canonical role</t>
        </is>
      </c>
      <c r="G5" s="11" t="inlineStr">
        <is>
          <t>Source</t>
        </is>
      </c>
    </row>
    <row r="6">
      <c r="A6" t="inlineStr">
        <is>
          <t>T0</t>
        </is>
      </c>
      <c r="B6" t="inlineStr">
        <is>
          <t>Potential</t>
        </is>
      </c>
      <c r="C6" t="inlineStr">
        <is>
          <t>pre-state possibility</t>
        </is>
      </c>
      <c r="D6" t="inlineStr">
        <is>
          <t>candidate admissible space</t>
        </is>
      </c>
      <c r="E6" t="inlineStr">
        <is>
          <t>SOURCE</t>
        </is>
      </c>
      <c r="F6" t="inlineStr">
        <is>
          <t>Context only</t>
        </is>
      </c>
      <c r="G6" t="inlineStr">
        <is>
          <t>UOC_SEIT Combined Master Matrix</t>
        </is>
      </c>
    </row>
    <row r="7">
      <c r="A7" t="inlineStr">
        <is>
          <t>T1</t>
        </is>
      </c>
      <c r="B7" t="inlineStr">
        <is>
          <t>Difference</t>
        </is>
      </c>
      <c r="C7" t="inlineStr">
        <is>
          <t>separation/change signal</t>
        </is>
      </c>
      <c r="D7" t="inlineStr">
        <is>
          <t>pre-distinction contrast</t>
        </is>
      </c>
      <c r="E7" t="inlineStr">
        <is>
          <t>SOURCE</t>
        </is>
      </c>
      <c r="F7" t="inlineStr">
        <is>
          <t>Context only</t>
        </is>
      </c>
      <c r="G7" t="inlineStr">
        <is>
          <t>UOC_SEIT Combined Master Matrix</t>
        </is>
      </c>
    </row>
    <row r="8">
      <c r="A8" t="inlineStr">
        <is>
          <t>T2</t>
        </is>
      </c>
      <c r="B8" t="inlineStr">
        <is>
          <t>Distinction</t>
        </is>
      </c>
      <c r="C8" t="inlineStr">
        <is>
          <t>state separation</t>
        </is>
      </c>
      <c r="D8" t="inlineStr">
        <is>
          <t>D</t>
        </is>
      </c>
      <c r="E8" t="inlineStr">
        <is>
          <t>SOURCE</t>
        </is>
      </c>
      <c r="F8" t="inlineStr">
        <is>
          <t>ACTIVE</t>
        </is>
      </c>
      <c r="G8" t="inlineStr">
        <is>
          <t>DTC/MDCL</t>
        </is>
      </c>
    </row>
    <row r="9">
      <c r="A9" t="inlineStr">
        <is>
          <t>T3</t>
        </is>
      </c>
      <c r="B9" t="inlineStr">
        <is>
          <t>Identity</t>
        </is>
      </c>
      <c r="C9" t="inlineStr">
        <is>
          <t>state self-equivalence</t>
        </is>
      </c>
      <c r="D9" t="inlineStr">
        <is>
          <t>invariant identity</t>
        </is>
      </c>
      <c r="E9" t="inlineStr">
        <is>
          <t>SOURCE</t>
        </is>
      </c>
      <c r="F9" t="inlineStr">
        <is>
          <t>ACTIVE as mathematical notion</t>
        </is>
      </c>
      <c r="G9" t="inlineStr">
        <is>
          <t>UMCC</t>
        </is>
      </c>
    </row>
    <row r="10">
      <c r="A10" t="inlineStr">
        <is>
          <t>T4</t>
        </is>
      </c>
      <c r="B10" t="inlineStr">
        <is>
          <t>Boundary</t>
        </is>
      </c>
      <c r="C10" t="inlineStr">
        <is>
          <t>admissibility edge</t>
        </is>
      </c>
      <c r="D10" t="inlineStr">
        <is>
          <t>C / domain boundary</t>
        </is>
      </c>
      <c r="E10" t="inlineStr">
        <is>
          <t>SOURCE</t>
        </is>
      </c>
      <c r="F10" t="inlineStr">
        <is>
          <t>ACTIVE</t>
        </is>
      </c>
      <c r="G10" t="inlineStr">
        <is>
          <t>UMCC/DTC</t>
        </is>
      </c>
    </row>
    <row r="11">
      <c r="A11" t="inlineStr">
        <is>
          <t>T5</t>
        </is>
      </c>
      <c r="B11" t="inlineStr">
        <is>
          <t>State</t>
        </is>
      </c>
      <c r="C11" t="inlineStr">
        <is>
          <t>configuration</t>
        </is>
      </c>
      <c r="D11" t="inlineStr">
        <is>
          <t>X</t>
        </is>
      </c>
      <c r="E11" t="inlineStr">
        <is>
          <t>SOURCE</t>
        </is>
      </c>
      <c r="F11" t="inlineStr">
        <is>
          <t>ACTIVE</t>
        </is>
      </c>
      <c r="G11" t="inlineStr">
        <is>
          <t>MDCL</t>
        </is>
      </c>
    </row>
    <row r="12">
      <c r="A12" t="inlineStr">
        <is>
          <t>T6</t>
        </is>
      </c>
      <c r="B12" t="inlineStr">
        <is>
          <t>Relation</t>
        </is>
      </c>
      <c r="C12" t="inlineStr">
        <is>
          <t>edge/association</t>
        </is>
      </c>
      <c r="D12" t="inlineStr">
        <is>
          <t>G relation</t>
        </is>
      </c>
      <c r="E12" t="inlineStr">
        <is>
          <t>SOURCE</t>
        </is>
      </c>
      <c r="F12" t="inlineStr">
        <is>
          <t>ACTIVE</t>
        </is>
      </c>
      <c r="G12" t="inlineStr">
        <is>
          <t>UMCC</t>
        </is>
      </c>
    </row>
    <row r="13">
      <c r="A13" t="inlineStr">
        <is>
          <t>T7</t>
        </is>
      </c>
      <c r="B13" t="inlineStr">
        <is>
          <t>Interaction</t>
        </is>
      </c>
      <c r="C13" t="inlineStr">
        <is>
          <t>coupled relation</t>
        </is>
      </c>
      <c r="D13" t="inlineStr">
        <is>
          <t>operator interaction</t>
        </is>
      </c>
      <c r="E13" t="inlineStr">
        <is>
          <t>SOURCE</t>
        </is>
      </c>
      <c r="F13" t="inlineStr">
        <is>
          <t>ACTIVE</t>
        </is>
      </c>
      <c r="G13" t="inlineStr">
        <is>
          <t>UMCC</t>
        </is>
      </c>
    </row>
    <row r="14">
      <c r="A14" t="inlineStr">
        <is>
          <t>T8</t>
        </is>
      </c>
      <c r="B14" t="inlineStr">
        <is>
          <t>Transformation</t>
        </is>
      </c>
      <c r="C14" t="inlineStr">
        <is>
          <t>change map</t>
        </is>
      </c>
      <c r="D14" t="inlineStr">
        <is>
          <t>T</t>
        </is>
      </c>
      <c r="E14" t="inlineStr">
        <is>
          <t>SOURCE</t>
        </is>
      </c>
      <c r="F14" t="inlineStr">
        <is>
          <t>ACTIVE</t>
        </is>
      </c>
      <c r="G14" t="inlineStr">
        <is>
          <t>DTC</t>
        </is>
      </c>
    </row>
    <row r="15">
      <c r="A15" t="inlineStr">
        <is>
          <t>T9</t>
        </is>
      </c>
      <c r="B15" t="inlineStr">
        <is>
          <t>Constraint</t>
        </is>
      </c>
      <c r="C15" t="inlineStr">
        <is>
          <t>restriction</t>
        </is>
      </c>
      <c r="D15" t="inlineStr">
        <is>
          <t>C</t>
        </is>
      </c>
      <c r="E15" t="inlineStr">
        <is>
          <t>SOURCE</t>
        </is>
      </c>
      <c r="F15" t="inlineStr">
        <is>
          <t>ACTIVE</t>
        </is>
      </c>
      <c r="G15" t="inlineStr">
        <is>
          <t>DTC</t>
        </is>
      </c>
    </row>
    <row r="16">
      <c r="A16" t="inlineStr">
        <is>
          <t>T10</t>
        </is>
      </c>
      <c r="B16" t="inlineStr">
        <is>
          <t>Selection</t>
        </is>
      </c>
      <c r="C16" t="inlineStr">
        <is>
          <t>filter</t>
        </is>
      </c>
      <c r="D16" t="inlineStr">
        <is>
          <t>projector/selector</t>
        </is>
      </c>
      <c r="E16" t="inlineStr">
        <is>
          <t>SOURCE</t>
        </is>
      </c>
      <c r="F16" t="inlineStr">
        <is>
          <t>ACTIVE downstream only</t>
        </is>
      </c>
      <c r="G16" t="inlineStr">
        <is>
          <t>UMCC</t>
        </is>
      </c>
    </row>
    <row r="17">
      <c r="A17" t="inlineStr">
        <is>
          <t>T11</t>
        </is>
      </c>
      <c r="B17" t="inlineStr">
        <is>
          <t>Organization</t>
        </is>
      </c>
      <c r="C17" t="inlineStr">
        <is>
          <t>structured relations</t>
        </is>
      </c>
      <c r="D17" t="inlineStr">
        <is>
          <t>G</t>
        </is>
      </c>
      <c r="E17" t="inlineStr">
        <is>
          <t>SOURCE</t>
        </is>
      </c>
      <c r="F17" t="inlineStr">
        <is>
          <t>ACTIVE</t>
        </is>
      </c>
      <c r="G17" t="inlineStr">
        <is>
          <t>ARBS</t>
        </is>
      </c>
    </row>
    <row r="18">
      <c r="A18" t="inlineStr">
        <is>
          <t>T12</t>
        </is>
      </c>
      <c r="B18" t="inlineStr">
        <is>
          <t>Persistence</t>
        </is>
      </c>
      <c r="C18" t="inlineStr">
        <is>
          <t>stable sector</t>
        </is>
      </c>
      <c r="D18" t="inlineStr">
        <is>
          <t>Π</t>
        </is>
      </c>
      <c r="E18" t="inlineStr">
        <is>
          <t>SOURCE</t>
        </is>
      </c>
      <c r="F18" t="inlineStr">
        <is>
          <t>ACTIVE</t>
        </is>
      </c>
      <c r="G18" t="inlineStr">
        <is>
          <t>SEIT</t>
        </is>
      </c>
    </row>
    <row r="19">
      <c r="A19" t="inlineStr">
        <is>
          <t>T13</t>
        </is>
      </c>
      <c r="B19" t="inlineStr">
        <is>
          <t>Memory</t>
        </is>
      </c>
      <c r="C19" t="inlineStr">
        <is>
          <t>retained state</t>
        </is>
      </c>
      <c r="D19" t="inlineStr">
        <is>
          <t>state history</t>
        </is>
      </c>
      <c r="E19" t="inlineStr">
        <is>
          <t>SOURCE</t>
        </is>
      </c>
      <c r="F19" t="inlineStr">
        <is>
          <t>Context only</t>
        </is>
      </c>
      <c r="G19" t="inlineStr">
        <is>
          <t>UMCC</t>
        </is>
      </c>
    </row>
    <row r="20">
      <c r="A20" t="inlineStr">
        <is>
          <t>T14</t>
        </is>
      </c>
      <c r="B20" t="inlineStr">
        <is>
          <t>Feedback</t>
        </is>
      </c>
      <c r="C20" t="inlineStr">
        <is>
          <t>state-dependent transformation</t>
        </is>
      </c>
      <c r="D20" t="inlineStr">
        <is>
          <t>T(X)</t>
        </is>
      </c>
      <c r="E20" t="inlineStr">
        <is>
          <t>SOURCE</t>
        </is>
      </c>
      <c r="F20" t="inlineStr">
        <is>
          <t>Context only</t>
        </is>
      </c>
      <c r="G20" t="inlineStr">
        <is>
          <t>UMCC</t>
        </is>
      </c>
    </row>
    <row r="21">
      <c r="A21" t="inlineStr">
        <is>
          <t>T15</t>
        </is>
      </c>
      <c r="B21" t="inlineStr">
        <is>
          <t>Adaptation</t>
        </is>
      </c>
      <c r="C21" t="inlineStr">
        <is>
          <t>constraint-aware change</t>
        </is>
      </c>
      <c r="D21" t="inlineStr">
        <is>
          <t>T under C</t>
        </is>
      </c>
      <c r="E21" t="inlineStr">
        <is>
          <t>SOURCE</t>
        </is>
      </c>
      <c r="F21" t="inlineStr">
        <is>
          <t>Context only</t>
        </is>
      </c>
      <c r="G21" t="inlineStr">
        <is>
          <t>UMCC</t>
        </is>
      </c>
    </row>
    <row r="22">
      <c r="A22" t="inlineStr">
        <is>
          <t>T16</t>
        </is>
      </c>
      <c r="B22" t="inlineStr">
        <is>
          <t>Emergence</t>
        </is>
      </c>
      <c r="C22" t="inlineStr">
        <is>
          <t>new effective organization</t>
        </is>
      </c>
      <c r="D22" t="inlineStr">
        <is>
          <t>coarse-grained realization</t>
        </is>
      </c>
      <c r="E22" t="inlineStr">
        <is>
          <t>SOURCE</t>
        </is>
      </c>
      <c r="F22" t="inlineStr">
        <is>
          <t>Context only</t>
        </is>
      </c>
      <c r="G22" t="inlineStr">
        <is>
          <t>UMCC</t>
        </is>
      </c>
    </row>
    <row r="23">
      <c r="A23" t="inlineStr">
        <is>
          <t>T17</t>
        </is>
      </c>
      <c r="B23" t="inlineStr">
        <is>
          <t>Hierarchy</t>
        </is>
      </c>
      <c r="C23" t="inlineStr">
        <is>
          <t>nested organization</t>
        </is>
      </c>
      <c r="D23" t="inlineStr">
        <is>
          <t>scale/refinement</t>
        </is>
      </c>
      <c r="E23" t="inlineStr">
        <is>
          <t>SOURCE</t>
        </is>
      </c>
      <c r="F23" t="inlineStr">
        <is>
          <t>ACTIVE as refinement concept</t>
        </is>
      </c>
      <c r="G23" t="inlineStr">
        <is>
          <t>UMCC/ARBS</t>
        </is>
      </c>
    </row>
    <row r="24">
      <c r="A24" t="inlineStr">
        <is>
          <t>T18</t>
        </is>
      </c>
      <c r="B24" t="inlineStr">
        <is>
          <t>Evolution</t>
        </is>
      </c>
      <c r="C24" t="inlineStr">
        <is>
          <t>cross-time organization</t>
        </is>
      </c>
      <c r="D24" t="inlineStr">
        <is>
          <t>recursion / flow</t>
        </is>
      </c>
      <c r="E24" t="inlineStr">
        <is>
          <t>SOURCE</t>
        </is>
      </c>
      <c r="F24" t="inlineStr">
        <is>
          <t>ACTIVE</t>
        </is>
      </c>
      <c r="G24" t="inlineStr">
        <is>
          <t>UOC</t>
        </is>
      </c>
    </row>
    <row r="25">
      <c r="A25" t="inlineStr">
        <is>
          <t>T19</t>
        </is>
      </c>
      <c r="B25" t="inlineStr">
        <is>
          <t>Cross-scale Coupling</t>
        </is>
      </c>
      <c r="C25" t="inlineStr">
        <is>
          <t>scale interaction</t>
        </is>
      </c>
      <c r="D25" t="inlineStr">
        <is>
          <t>RG/cross-scale map</t>
        </is>
      </c>
      <c r="E25" t="inlineStr">
        <is>
          <t>SOURCE</t>
        </is>
      </c>
      <c r="F25" t="inlineStr">
        <is>
          <t>ACTIVE research layer</t>
        </is>
      </c>
      <c r="G25" t="inlineStr">
        <is>
          <t>UMCC</t>
        </is>
      </c>
    </row>
    <row r="26">
      <c r="A26" t="inlineStr">
        <is>
          <t>T20</t>
        </is>
      </c>
      <c r="B26" t="inlineStr">
        <is>
          <t>Universality</t>
        </is>
      </c>
      <c r="C26" t="inlineStr">
        <is>
          <t>domain-independent structure</t>
        </is>
      </c>
      <c r="D26" t="inlineStr">
        <is>
          <t>Rosetta translation</t>
        </is>
      </c>
      <c r="E26" t="inlineStr">
        <is>
          <t>SOURCE</t>
        </is>
      </c>
      <c r="F26" t="inlineStr">
        <is>
          <t>ACTIVE target</t>
        </is>
      </c>
      <c r="G26" t="inlineStr">
        <is>
          <t>UMCC</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tabColor rgb="00C89B3C"/>
    <outlinePr summaryBelow="1" summaryRight="1"/>
    <pageSetUpPr/>
  </sheetPr>
  <dimension ref="A1:I23"/>
  <sheetViews>
    <sheetView showGridLines="0" zoomScale="85" workbookViewId="0">
      <pane ySplit="3" topLeftCell="A4" activePane="bottomLeft" state="frozen"/>
      <selection pane="bottomLeft" activeCell="A1" sqref="A1"/>
    </sheetView>
  </sheetViews>
  <sheetFormatPr baseColWidth="8" defaultRowHeight="15"/>
  <cols>
    <col width="14" customWidth="1" min="1" max="1"/>
    <col width="34" customWidth="1" min="2" max="2"/>
    <col width="38" customWidth="1" min="3" max="3"/>
    <col width="52" customWidth="1" min="4" max="4"/>
    <col width="38" customWidth="1" min="5" max="5"/>
    <col width="38" customWidth="1" min="6" max="6"/>
    <col width="30" customWidth="1" min="7" max="7"/>
    <col width="28" customWidth="1" min="8" max="8"/>
    <col width="46" customWidth="1" min="9" max="9"/>
  </cols>
  <sheetData>
    <row r="1" ht="32" customHeight="1">
      <c r="A1" s="1" t="inlineStr">
        <is>
          <t>MDCL / UOC ARCHITECTURE MATRIX</t>
        </is>
      </c>
    </row>
    <row r="2" ht="34" customHeight="1">
      <c r="A2" s="12" t="inlineStr">
        <is>
          <t>Consolidates the dependency-first architecture and the major source-derived compiler phases.</t>
        </is>
      </c>
    </row>
    <row r="5" ht="30" customHeight="1">
      <c r="A5" s="11" t="inlineStr">
        <is>
          <t>ID</t>
        </is>
      </c>
      <c r="B5" s="11" t="inlineStr">
        <is>
          <t>Architecture layer</t>
        </is>
      </c>
      <c r="C5" s="11" t="inlineStr">
        <is>
          <t>Canonical object</t>
        </is>
      </c>
      <c r="D5" s="11" t="inlineStr">
        <is>
          <t>Dependency / chain</t>
        </is>
      </c>
      <c r="E5" s="11" t="inlineStr">
        <is>
          <t>Closure criterion</t>
        </is>
      </c>
      <c r="F5" s="11" t="inlineStr">
        <is>
          <t>Implementation</t>
        </is>
      </c>
      <c r="G5" s="11" t="inlineStr">
        <is>
          <t>Status</t>
        </is>
      </c>
      <c r="H5" s="11" t="inlineStr">
        <is>
          <t>Active</t>
        </is>
      </c>
      <c r="I5" s="11" t="inlineStr">
        <is>
          <t>Source matrix</t>
        </is>
      </c>
    </row>
    <row r="6">
      <c r="A6" t="inlineStr">
        <is>
          <t>ARC-003</t>
        </is>
      </c>
      <c r="B6" t="inlineStr">
        <is>
          <t>Compiler evolution</t>
        </is>
      </c>
      <c r="C6" t="inlineStr">
        <is>
          <t>Foundation→Graph→Spectral→Operator→Lorentzian→Differential Geometry→Physics</t>
        </is>
      </c>
      <c r="D6" t="inlineStr">
        <is>
          <t>dependency-first order</t>
        </is>
      </c>
      <c r="E6" t="inlineStr">
        <is>
          <t>topological ordering</t>
        </is>
      </c>
      <c r="F6" t="inlineStr">
        <is>
          <t>MDCL</t>
        </is>
      </c>
      <c r="G6" t="inlineStr">
        <is>
          <t>ARCHITECTURAL</t>
        </is>
      </c>
      <c r="H6" t="inlineStr">
        <is>
          <t>YES</t>
        </is>
      </c>
      <c r="I6" t="inlineStr">
        <is>
          <t>SEIT Master Matrix</t>
        </is>
      </c>
    </row>
    <row r="7">
      <c r="A7" t="inlineStr">
        <is>
          <t>ARC-021</t>
        </is>
      </c>
      <c r="B7" t="inlineStr">
        <is>
          <t>Phase 0</t>
        </is>
      </c>
      <c r="C7" t="inlineStr">
        <is>
          <t>Registries</t>
        </is>
      </c>
      <c r="D7" t="inlineStr">
        <is>
          <t>Objects/operators/relations/structures</t>
        </is>
      </c>
      <c r="E7" t="inlineStr">
        <is>
          <t>common vocabulary</t>
        </is>
      </c>
      <c r="F7" t="inlineStr">
        <is>
          <t>Registry layer</t>
        </is>
      </c>
      <c r="G7" t="inlineStr">
        <is>
          <t>FRAMEWORK</t>
        </is>
      </c>
      <c r="H7" t="inlineStr">
        <is>
          <t>YES</t>
        </is>
      </c>
      <c r="I7" t="inlineStr">
        <is>
          <t>SEIT Master Matrix</t>
        </is>
      </c>
    </row>
    <row r="8">
      <c r="A8" t="inlineStr">
        <is>
          <t>ARC-023</t>
        </is>
      </c>
      <c r="B8" t="inlineStr">
        <is>
          <t>Phase II</t>
        </is>
      </c>
      <c r="C8" t="inlineStr">
        <is>
          <t>Dependency cascade</t>
        </is>
      </c>
      <c r="D8" t="inlineStr">
        <is>
          <t>Object→State→Relation→Operator→Transformation→Constraint→Dynamics→Persistence→Equation→Theory</t>
        </is>
      </c>
      <c r="E8" t="inlineStr">
        <is>
          <t>dependency ordering</t>
        </is>
      </c>
      <c r="F8" t="inlineStr">
        <is>
          <t>MDCL</t>
        </is>
      </c>
      <c r="G8" t="inlineStr">
        <is>
          <t>DEFINED</t>
        </is>
      </c>
      <c r="H8" t="inlineStr">
        <is>
          <t>YES</t>
        </is>
      </c>
      <c r="I8" t="inlineStr">
        <is>
          <t>SEIT Master Matrix</t>
        </is>
      </c>
    </row>
    <row r="9">
      <c r="A9" t="inlineStr">
        <is>
          <t>ARC-024</t>
        </is>
      </c>
      <c r="B9" t="inlineStr">
        <is>
          <t>Phase III</t>
        </is>
      </c>
      <c r="C9" t="inlineStr">
        <is>
          <t>Operator closure</t>
        </is>
      </c>
      <c r="D9" t="inlineStr">
        <is>
          <t>operator compositions/commutators</t>
        </is>
      </c>
      <c r="E9" t="inlineStr">
        <is>
          <t>closure in algebra</t>
        </is>
      </c>
      <c r="F9" t="inlineStr">
        <is>
          <t>Operator registry</t>
        </is>
      </c>
      <c r="G9" t="inlineStr">
        <is>
          <t>OPEN HISTORICAL</t>
        </is>
      </c>
      <c r="H9" t="inlineStr">
        <is>
          <t>NO</t>
        </is>
      </c>
      <c r="I9" t="inlineStr">
        <is>
          <t>Historical matrix</t>
        </is>
      </c>
    </row>
    <row r="10">
      <c r="A10" t="inlineStr">
        <is>
          <t>ARC-025</t>
        </is>
      </c>
      <c r="B10" t="inlineStr">
        <is>
          <t>Phase IV</t>
        </is>
      </c>
      <c r="C10" t="inlineStr">
        <is>
          <t>Variable closure</t>
        </is>
      </c>
      <c r="D10" t="inlineStr">
        <is>
          <t>operators map allowed variables to allowed variables</t>
        </is>
      </c>
      <c r="E10" t="inlineStr">
        <is>
          <t>typed state closure</t>
        </is>
      </c>
      <c r="F10" t="inlineStr">
        <is>
          <t>Variable registry</t>
        </is>
      </c>
      <c r="G10" t="inlineStr">
        <is>
          <t>OPEN HISTORICAL</t>
        </is>
      </c>
      <c r="H10" t="inlineStr">
        <is>
          <t>NO</t>
        </is>
      </c>
      <c r="I10" t="inlineStr">
        <is>
          <t>Historical matrix</t>
        </is>
      </c>
    </row>
    <row r="11">
      <c r="A11" t="inlineStr">
        <is>
          <t>ARC-026</t>
        </is>
      </c>
      <c r="B11" t="inlineStr">
        <is>
          <t>Phase V</t>
        </is>
      </c>
      <c r="C11" t="inlineStr">
        <is>
          <t>Equation canonical form</t>
        </is>
      </c>
      <c r="D11" t="inlineStr">
        <is>
          <t>V,O,C→structural balance/null expression</t>
        </is>
      </c>
      <c r="E11" t="inlineStr">
        <is>
          <t>cross-domain normalization</t>
        </is>
      </c>
      <c r="F11" t="inlineStr">
        <is>
          <t>Canonicalizer</t>
        </is>
      </c>
      <c r="G11" t="inlineStr">
        <is>
          <t>WORKING</t>
        </is>
      </c>
      <c r="H11" t="inlineStr">
        <is>
          <t>YES</t>
        </is>
      </c>
      <c r="I11" t="inlineStr">
        <is>
          <t>Historical matrix; formalization continues</t>
        </is>
      </c>
    </row>
    <row r="12">
      <c r="A12" t="inlineStr">
        <is>
          <t>ARC-027</t>
        </is>
      </c>
      <c r="B12" t="inlineStr">
        <is>
          <t>Universal reduction</t>
        </is>
      </c>
      <c r="C12" t="inlineStr">
        <is>
          <t>Minimal basis</t>
        </is>
      </c>
      <c r="D12" t="inlineStr">
        <is>
          <t>minimize alphabet without reconstruction loss</t>
        </is>
      </c>
      <c r="E12" t="inlineStr">
        <is>
          <t>minimality theorem</t>
        </is>
      </c>
      <c r="F12" t="inlineStr">
        <is>
          <t>UOC</t>
        </is>
      </c>
      <c r="G12" t="inlineStr">
        <is>
          <t>RESEARCH</t>
        </is>
      </c>
      <c r="H12" t="inlineStr">
        <is>
          <t>YES</t>
        </is>
      </c>
      <c r="I12" t="inlineStr">
        <is>
          <t>Historical matrix</t>
        </is>
      </c>
    </row>
    <row r="13">
      <c r="A13" t="inlineStr">
        <is>
          <t>ARC-030</t>
        </is>
      </c>
      <c r="B13" t="inlineStr">
        <is>
          <t>Compiler execution</t>
        </is>
      </c>
      <c r="C13" t="inlineStr">
        <is>
          <t>Reality→Variables→Operators→Constraints→Equations→Predictions</t>
        </is>
      </c>
      <c r="D13" t="inlineStr">
        <is>
          <t>end-to-end translation</t>
        </is>
      </c>
      <c r="E13" t="inlineStr">
        <is>
          <t>named-theory test</t>
        </is>
      </c>
      <c r="F13" t="inlineStr">
        <is>
          <t>UOC</t>
        </is>
      </c>
      <c r="G13" t="inlineStr">
        <is>
          <t>DEFINED</t>
        </is>
      </c>
      <c r="H13" t="inlineStr">
        <is>
          <t>YES</t>
        </is>
      </c>
      <c r="I13" t="inlineStr">
        <is>
          <t>Historical matrix</t>
        </is>
      </c>
    </row>
    <row r="14">
      <c r="A14" t="inlineStr">
        <is>
          <t>ARC-031</t>
        </is>
      </c>
      <c r="B14" t="inlineStr">
        <is>
          <t>Fixed point</t>
        </is>
      </c>
      <c r="C14" t="inlineStr">
        <is>
          <t>compiler invariance</t>
        </is>
      </c>
      <c r="D14" t="inlineStr">
        <is>
          <t>compiled description maps to itself</t>
        </is>
      </c>
      <c r="E14" t="inlineStr">
        <is>
          <t>fixed-point demonstration</t>
        </is>
      </c>
      <c r="F14" t="inlineStr">
        <is>
          <t>UOC</t>
        </is>
      </c>
      <c r="G14" t="inlineStr">
        <is>
          <t>OPEN HISTORICAL</t>
        </is>
      </c>
      <c r="H14" t="inlineStr">
        <is>
          <t>NO</t>
        </is>
      </c>
      <c r="I14" t="inlineStr">
        <is>
          <t>Historical matrix</t>
        </is>
      </c>
    </row>
    <row r="15">
      <c r="A15" t="inlineStr">
        <is>
          <t>ARC-043</t>
        </is>
      </c>
      <c r="B15" t="inlineStr">
        <is>
          <t>Representation selection</t>
        </is>
      </c>
      <c r="C15" t="inlineStr">
        <is>
          <t>question→entities→interactions→states→interaction object→representation→spectrum→metrics→validation</t>
        </is>
      </c>
      <c r="D15" t="inlineStr">
        <is>
          <t>selection theorem</t>
        </is>
      </c>
      <c r="E15" t="inlineStr">
        <is>
          <t>Bridge operator</t>
        </is>
      </c>
      <c r="F15" t="inlineStr">
        <is>
          <t>OPEN HISTORICAL</t>
        </is>
      </c>
      <c r="G15" t="inlineStr">
        <is>
          <t>NO</t>
        </is>
      </c>
      <c r="H15" t="inlineStr">
        <is>
          <t>Historical matrix</t>
        </is>
      </c>
    </row>
    <row r="16">
      <c r="A16" t="inlineStr">
        <is>
          <t>ARC-044</t>
        </is>
      </c>
      <c r="B16" t="inlineStr">
        <is>
          <t>MDCL v1</t>
        </is>
      </c>
      <c r="C16" t="inlineStr">
        <is>
          <t>D,T,C(+Π); Γ=C∘T∘D</t>
        </is>
      </c>
      <c r="D16" t="inlineStr">
        <is>
          <t>primitive grammar</t>
        </is>
      </c>
      <c r="E16" t="inlineStr">
        <is>
          <t>lossless re-expression</t>
        </is>
      </c>
      <c r="F16" t="inlineStr">
        <is>
          <t>MDCL</t>
        </is>
      </c>
      <c r="G16" t="inlineStr">
        <is>
          <t>CERTIFIED FRAMEWORK</t>
        </is>
      </c>
      <c r="H16" t="inlineStr">
        <is>
          <t>YES</t>
        </is>
      </c>
      <c r="I16" t="inlineStr">
        <is>
          <t>Historical matrix</t>
        </is>
      </c>
    </row>
    <row r="17">
      <c r="A17" t="inlineStr">
        <is>
          <t>ARC-060</t>
        </is>
      </c>
      <c r="B17" t="inlineStr">
        <is>
          <t>UGAS</t>
        </is>
      </c>
      <c r="C17" t="inlineStr">
        <is>
          <t>F(Σ0), Σ0={D,T,C,Π}</t>
        </is>
      </c>
      <c r="D17" t="inlineStr">
        <is>
          <t>grammar algebra</t>
        </is>
      </c>
      <c r="E17" t="inlineStr">
        <is>
          <t>well-formed expressions</t>
        </is>
      </c>
      <c r="F17" t="inlineStr">
        <is>
          <t>UGAS</t>
        </is>
      </c>
      <c r="G17" t="inlineStr">
        <is>
          <t>CERTIFIED</t>
        </is>
      </c>
      <c r="H17" t="inlineStr">
        <is>
          <t>YES</t>
        </is>
      </c>
      <c r="I17" t="inlineStr">
        <is>
          <t>Historical matrix</t>
        </is>
      </c>
    </row>
    <row r="18">
      <c r="A18" t="inlineStr">
        <is>
          <t>ARC-061</t>
        </is>
      </c>
      <c r="B18" t="inlineStr">
        <is>
          <t>UGCT</t>
        </is>
      </c>
      <c r="C18" t="inlineStr">
        <is>
          <t>grammar quotient</t>
        </is>
      </c>
      <c r="D18" t="inlineStr">
        <is>
          <t>smallest compatible congruence</t>
        </is>
      </c>
      <c r="E18" t="inlineStr">
        <is>
          <t>canonical quotient</t>
        </is>
      </c>
      <c r="F18" t="inlineStr">
        <is>
          <t>UGCT</t>
        </is>
      </c>
      <c r="G18" t="inlineStr">
        <is>
          <t>CERTIFIED</t>
        </is>
      </c>
      <c r="H18" t="inlineStr">
        <is>
          <t>YES</t>
        </is>
      </c>
      <c r="I18" t="inlineStr">
        <is>
          <t>Historical matrix</t>
        </is>
      </c>
    </row>
    <row r="19">
      <c r="A19" t="inlineStr">
        <is>
          <t>ARC-062</t>
        </is>
      </c>
      <c r="B19" t="inlineStr">
        <is>
          <t>UGUP</t>
        </is>
      </c>
      <c r="C19" t="inlineStr">
        <is>
          <t>universal mapping property</t>
        </is>
      </c>
      <c r="D19" t="inlineStr">
        <is>
          <t>UGCT</t>
        </is>
      </c>
      <c r="E19" t="inlineStr">
        <is>
          <t>unique factorization</t>
        </is>
      </c>
      <c r="F19" t="inlineStr">
        <is>
          <t>UGUP</t>
        </is>
      </c>
      <c r="G19" t="inlineStr">
        <is>
          <t>CERTIFIED</t>
        </is>
      </c>
      <c r="H19" t="inlineStr">
        <is>
          <t>YES</t>
        </is>
      </c>
      <c r="I19" t="inlineStr">
        <is>
          <t>Historical matrix</t>
        </is>
      </c>
    </row>
    <row r="20">
      <c r="A20" t="inlineStr">
        <is>
          <t>ARC-064</t>
        </is>
      </c>
      <c r="B20" t="inlineStr">
        <is>
          <t>UGIT</t>
        </is>
      </c>
      <c r="C20" t="inlineStr">
        <is>
          <t>automorphisms/orbits/invariants</t>
        </is>
      </c>
      <c r="D20" t="inlineStr">
        <is>
          <t>UGNT</t>
        </is>
      </c>
      <c r="E20" t="inlineStr">
        <is>
          <t>structural classification</t>
        </is>
      </c>
      <c r="F20" t="inlineStr">
        <is>
          <t>UGIT</t>
        </is>
      </c>
      <c r="G20" t="inlineStr">
        <is>
          <t>CERTIFIED FRAMEWORK</t>
        </is>
      </c>
      <c r="H20" t="inlineStr">
        <is>
          <t>YES</t>
        </is>
      </c>
      <c r="I20" t="inlineStr">
        <is>
          <t>Historical matrix</t>
        </is>
      </c>
    </row>
    <row r="21">
      <c r="A21" t="inlineStr">
        <is>
          <t>ARC-065</t>
        </is>
      </c>
      <c r="B21" t="inlineStr">
        <is>
          <t>UOLS</t>
        </is>
      </c>
      <c r="C21" t="inlineStr">
        <is>
          <t>interpretation map</t>
        </is>
      </c>
      <c r="D21" t="inlineStr">
        <is>
          <t>UGIT</t>
        </is>
      </c>
      <c r="E21" t="inlineStr">
        <is>
          <t>semantic equivalence</t>
        </is>
      </c>
      <c r="F21" t="inlineStr">
        <is>
          <t>UOLS</t>
        </is>
      </c>
      <c r="G21" t="inlineStr">
        <is>
          <t>CERTIFIED FRAMEWORK</t>
        </is>
      </c>
      <c r="H21" t="inlineStr">
        <is>
          <t>YES</t>
        </is>
      </c>
      <c r="I21" t="inlineStr">
        <is>
          <t>Historical matrix</t>
        </is>
      </c>
    </row>
    <row r="22">
      <c r="A22" t="inlineStr">
        <is>
          <t>ARC-066</t>
        </is>
      </c>
      <c r="B22" t="inlineStr">
        <is>
          <t>UTS</t>
        </is>
      </c>
      <c r="C22" t="inlineStr">
        <is>
          <t>typed D/T/C/Π</t>
        </is>
      </c>
      <c r="D22" t="inlineStr">
        <is>
          <t>UOLS</t>
        </is>
      </c>
      <c r="E22" t="inlineStr">
        <is>
          <t>type-safe composition</t>
        </is>
      </c>
      <c r="F22" t="inlineStr">
        <is>
          <t>UTS</t>
        </is>
      </c>
      <c r="G22" t="inlineStr">
        <is>
          <t>CERTIFIED</t>
        </is>
      </c>
      <c r="H22" t="inlineStr">
        <is>
          <t>YES</t>
        </is>
      </c>
      <c r="I22" t="inlineStr">
        <is>
          <t>Historical matrix</t>
        </is>
      </c>
    </row>
    <row r="23">
      <c r="A23" t="inlineStr">
        <is>
          <t>ARC-067</t>
        </is>
      </c>
      <c r="B23" t="inlineStr">
        <is>
          <t>MDCL-0001</t>
        </is>
      </c>
      <c r="C23" t="inlineStr">
        <is>
          <t>typed V,E, dependency partial order, composition</t>
        </is>
      </c>
      <c r="D23" t="inlineStr">
        <is>
          <t>UTS</t>
        </is>
      </c>
      <c r="E23" t="inlineStr">
        <is>
          <t>typed dependency object</t>
        </is>
      </c>
      <c r="F23" t="inlineStr">
        <is>
          <t>MDCL</t>
        </is>
      </c>
      <c r="G23" t="inlineStr">
        <is>
          <t>CERTIFIED</t>
        </is>
      </c>
      <c r="H23" t="inlineStr">
        <is>
          <t>YES</t>
        </is>
      </c>
      <c r="I23" t="inlineStr">
        <is>
          <t>Historical matrix</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tabColor rgb="002B7A78"/>
    <outlinePr summaryBelow="1" summaryRight="1"/>
    <pageSetUpPr/>
  </sheetPr>
  <dimension ref="A1:J15"/>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58" customWidth="1" min="3" max="3"/>
    <col width="42" customWidth="1" min="4" max="4"/>
    <col width="42" customWidth="1" min="5" max="5"/>
    <col width="30" customWidth="1" min="6" max="6"/>
    <col width="28" customWidth="1" min="7" max="7"/>
    <col width="30" customWidth="1" min="8" max="8"/>
    <col width="42" customWidth="1" min="9" max="9"/>
    <col width="46" customWidth="1" min="10" max="10"/>
  </cols>
  <sheetData>
    <row r="1" ht="32" customHeight="1">
      <c r="A1" s="1" t="inlineStr">
        <is>
          <t>RECOVERY BRANCH UNIFICATION MATRIX</t>
        </is>
      </c>
    </row>
    <row r="2" ht="34" customHeight="1">
      <c r="A2" s="12" t="inlineStr">
        <is>
          <t>The established recovery branches aligned on a common MDCL/Rosetta dependency axis.</t>
        </is>
      </c>
    </row>
    <row r="5" ht="30" customHeight="1">
      <c r="A5" s="11" t="inlineStr">
        <is>
          <t>Branch</t>
        </is>
      </c>
      <c r="B5" s="11" t="inlineStr">
        <is>
          <t>Recovery ID</t>
        </is>
      </c>
      <c r="C5" s="11" t="inlineStr">
        <is>
          <t>Canonical chain</t>
        </is>
      </c>
      <c r="D5" s="11" t="inlineStr">
        <is>
          <t>Mathematical core</t>
        </is>
      </c>
      <c r="E5" s="11" t="inlineStr">
        <is>
          <t>Downstream realization</t>
        </is>
      </c>
      <c r="F5" s="11" t="inlineStr">
        <is>
          <t>Status</t>
        </is>
      </c>
      <c r="G5" s="11" t="inlineStr">
        <is>
          <t>Rosetta layer</t>
        </is>
      </c>
      <c r="H5" s="11" t="inlineStr">
        <is>
          <t>Upstream</t>
        </is>
      </c>
      <c r="I5" s="11" t="inlineStr">
        <is>
          <t>Downstream</t>
        </is>
      </c>
      <c r="J5" s="11" t="inlineStr">
        <is>
          <t>Source</t>
        </is>
      </c>
    </row>
    <row r="6">
      <c r="A6" t="inlineStr">
        <is>
          <t>Foundation</t>
        </is>
      </c>
      <c r="B6" t="inlineStr">
        <is>
          <t>FND</t>
        </is>
      </c>
      <c r="C6" t="inlineStr">
        <is>
          <t>Existence≺P≺D,T,C≺Γ</t>
        </is>
      </c>
      <c r="D6" t="inlineStr">
        <is>
          <t>primitive grammar</t>
        </is>
      </c>
      <c r="E6" t="inlineStr">
        <is>
          <t>compiler</t>
        </is>
      </c>
      <c r="F6" t="inlineStr">
        <is>
          <t>DERIVED</t>
        </is>
      </c>
      <c r="G6" t="inlineStr">
        <is>
          <t>R0–R4</t>
        </is>
      </c>
      <c r="H6" t="inlineStr">
        <is>
          <t>Existence</t>
        </is>
      </c>
      <c r="I6" t="inlineStr">
        <is>
          <t>UOC</t>
        </is>
      </c>
      <c r="J6" t="inlineStr">
        <is>
          <t>MDCL recovery</t>
        </is>
      </c>
    </row>
    <row r="7">
      <c r="A7" t="inlineStr">
        <is>
          <t>Mathematical</t>
        </is>
      </c>
      <c r="B7" t="inlineStr">
        <is>
          <t>MAT</t>
        </is>
      </c>
      <c r="C7" t="inlineStr">
        <is>
          <t>Δ≺Γ≺G≺L≺Spec(L)≺g≺∇≺R≺I≺S≺δS</t>
        </is>
      </c>
      <c r="D7" t="inlineStr">
        <is>
          <t>spectral→geometry→variational</t>
        </is>
      </c>
      <c r="E7" t="inlineStr">
        <is>
          <t>field equations</t>
        </is>
      </c>
      <c r="F7" t="inlineStr">
        <is>
          <t>DERIVED</t>
        </is>
      </c>
      <c r="G7" t="inlineStr">
        <is>
          <t>R5–R22</t>
        </is>
      </c>
      <c r="H7" t="inlineStr">
        <is>
          <t>L</t>
        </is>
      </c>
      <c r="I7" t="inlineStr">
        <is>
          <t>Action</t>
        </is>
      </c>
      <c r="J7" t="inlineStr">
        <is>
          <t>MDCL recovery</t>
        </is>
      </c>
    </row>
    <row r="8">
      <c r="A8" t="inlineStr">
        <is>
          <t>Physical</t>
        </is>
      </c>
      <c r="B8" t="inlineStr">
        <is>
          <t>PRC</t>
        </is>
      </c>
      <c r="C8" t="inlineStr">
        <is>
          <t>G_{μν}≺∇^μG_{μν}=0≺T_{μν}≺∇^μT_{μν}=0≺G+Λg=αT</t>
        </is>
      </c>
      <c r="D8" t="inlineStr">
        <is>
          <t>Bianchi + field equation</t>
        </is>
      </c>
      <c r="E8" t="inlineStr">
        <is>
          <t>gravity</t>
        </is>
      </c>
      <c r="F8" t="inlineStr">
        <is>
          <t>DERIVED</t>
        </is>
      </c>
      <c r="G8" t="inlineStr">
        <is>
          <t>R20</t>
        </is>
      </c>
      <c r="H8" t="inlineStr">
        <is>
          <t>geometry</t>
        </is>
      </c>
      <c r="I8" t="inlineStr">
        <is>
          <t>matter coupling</t>
        </is>
      </c>
      <c r="J8" t="inlineStr">
        <is>
          <t>PRC</t>
        </is>
      </c>
    </row>
    <row r="9">
      <c r="A9" t="inlineStr">
        <is>
          <t>Statistical</t>
        </is>
      </c>
      <c r="B9" t="inlineStr">
        <is>
          <t>SRC</t>
        </is>
      </c>
      <c r="C9" t="inlineStr">
        <is>
          <t>Ω,F≺μ≺P≺X≺E[X]≺Var≺H(P)≺Z≺F≺PDE≺L≺Spec</t>
        </is>
      </c>
      <c r="D9" t="inlineStr">
        <is>
          <t>probability/information</t>
        </is>
      </c>
      <c r="E9" t="inlineStr">
        <is>
          <t>Fisher geometry</t>
        </is>
      </c>
      <c r="F9" t="inlineStr">
        <is>
          <t>DERIVED</t>
        </is>
      </c>
      <c r="G9" t="inlineStr">
        <is>
          <t>R13–R20</t>
        </is>
      </c>
      <c r="H9" t="inlineStr">
        <is>
          <t>ensemble</t>
        </is>
      </c>
      <c r="I9" t="inlineStr">
        <is>
          <t>Einstein tensor</t>
        </is>
      </c>
      <c r="J9" t="inlineStr">
        <is>
          <t>SRC</t>
        </is>
      </c>
    </row>
    <row r="10">
      <c r="A10" t="inlineStr">
        <is>
          <t>Information</t>
        </is>
      </c>
      <c r="B10" t="inlineStr">
        <is>
          <t>SRC-IG</t>
        </is>
      </c>
      <c r="C10" t="inlineStr">
        <is>
          <t>gap≺τ_relax≺MI≺KL≺Fisher≺Fisher–Rao≺∇≺R≺Ricci≺scalar≺Einstein</t>
        </is>
      </c>
      <c r="D10" t="inlineStr">
        <is>
          <t>information geometry</t>
        </is>
      </c>
      <c r="E10" t="inlineStr">
        <is>
          <t>geometric field</t>
        </is>
      </c>
      <c r="F10" t="inlineStr">
        <is>
          <t>DERIVED</t>
        </is>
      </c>
      <c r="G10" t="inlineStr">
        <is>
          <t>R15–R20</t>
        </is>
      </c>
      <c r="H10" t="inlineStr">
        <is>
          <t>spectrum</t>
        </is>
      </c>
      <c r="I10" t="inlineStr">
        <is>
          <t>field</t>
        </is>
      </c>
      <c r="J10" t="inlineStr">
        <is>
          <t>SRC</t>
        </is>
      </c>
    </row>
    <row r="11">
      <c r="A11" t="inlineStr">
        <is>
          <t>Quantum</t>
        </is>
      </c>
      <c r="B11" t="inlineStr">
        <is>
          <t>QRC</t>
        </is>
      </c>
      <c r="C11" t="inlineStr">
        <is>
          <t>L≺𝒟²≺Hamiltonian/Lagrangian≺Schrödinger≺Dirac≺Maxwell≺Yang–Mills</t>
        </is>
      </c>
      <c r="D11" t="inlineStr">
        <is>
          <t>operator/field recovery</t>
        </is>
      </c>
      <c r="E11" t="inlineStr">
        <is>
          <t>quantum field representation</t>
        </is>
      </c>
      <c r="F11" t="inlineStr">
        <is>
          <t>DERIVED</t>
        </is>
      </c>
      <c r="G11" t="inlineStr">
        <is>
          <t>R22–R29</t>
        </is>
      </c>
      <c r="H11" t="inlineStr">
        <is>
          <t>L</t>
        </is>
      </c>
      <c r="I11" t="inlineStr">
        <is>
          <t>YM</t>
        </is>
      </c>
      <c r="J11" t="inlineStr">
        <is>
          <t>QRC</t>
        </is>
      </c>
    </row>
    <row r="12">
      <c r="A12" t="inlineStr">
        <is>
          <t>Thermodynamic</t>
        </is>
      </c>
      <c r="B12" t="inlineStr">
        <is>
          <t>TRC</t>
        </is>
      </c>
      <c r="C12" t="inlineStr">
        <is>
          <t>E,ρ,u≺e≺S^μ≺Clausius–Duhem≺q^μ</t>
        </is>
      </c>
      <c r="D12" t="inlineStr">
        <is>
          <t>state/entropy/transport</t>
        </is>
      </c>
      <c r="E12" t="inlineStr">
        <is>
          <t>continuum flux</t>
        </is>
      </c>
      <c r="F12" t="inlineStr">
        <is>
          <t>VERIFIED</t>
        </is>
      </c>
      <c r="G12" t="inlineStr">
        <is>
          <t>R31</t>
        </is>
      </c>
      <c r="H12" t="inlineStr">
        <is>
          <t>state</t>
        </is>
      </c>
      <c r="I12" t="inlineStr">
        <is>
          <t>continuum</t>
        </is>
      </c>
      <c r="J12" t="inlineStr">
        <is>
          <t>TRC</t>
        </is>
      </c>
    </row>
    <row r="13">
      <c r="A13" t="inlineStr">
        <is>
          <t>NCG</t>
        </is>
      </c>
      <c r="B13" t="inlineStr">
        <is>
          <t>NCG</t>
        </is>
      </c>
      <c r="C13" t="inlineStr">
        <is>
          <t>A≺π≺H_F≺J_F,γ_F,D_F≺KO≺PD≺orientability</t>
        </is>
      </c>
      <c r="D13" t="inlineStr">
        <is>
          <t>finite spectral triple</t>
        </is>
      </c>
      <c r="E13" t="inlineStr">
        <is>
          <t>gauge/matter</t>
        </is>
      </c>
      <c r="F13" t="inlineStr">
        <is>
          <t>DERIVED</t>
        </is>
      </c>
      <c r="G13" t="inlineStr">
        <is>
          <t>R24–R28</t>
        </is>
      </c>
      <c r="H13" t="inlineStr">
        <is>
          <t>finite algebra</t>
        </is>
      </c>
      <c r="I13" t="inlineStr">
        <is>
          <t>flavor</t>
        </is>
      </c>
      <c r="J13" t="inlineStr">
        <is>
          <t>NCG branch</t>
        </is>
      </c>
    </row>
    <row r="14">
      <c r="A14" t="inlineStr">
        <is>
          <t>Matter</t>
        </is>
      </c>
      <c r="B14" t="inlineStr">
        <is>
          <t>MATTER</t>
        </is>
      </c>
      <c r="C14" t="inlineStr">
        <is>
          <t>D_F≺Y_u,Y_d,Y_e,Y_ν≺CKM/PMNS</t>
        </is>
      </c>
      <c r="D14" t="inlineStr">
        <is>
          <t>finite Dirac/Yukawa</t>
        </is>
      </c>
      <c r="E14" t="inlineStr">
        <is>
          <t>flavor</t>
        </is>
      </c>
      <c r="F14" t="inlineStr">
        <is>
          <t>DERIVED</t>
        </is>
      </c>
      <c r="G14" t="inlineStr">
        <is>
          <t>R27–R28</t>
        </is>
      </c>
      <c r="H14" t="inlineStr">
        <is>
          <t>D_F</t>
        </is>
      </c>
      <c r="I14" t="inlineStr">
        <is>
          <t>mixing</t>
        </is>
      </c>
      <c r="J14" t="inlineStr">
        <is>
          <t>Matter branch</t>
        </is>
      </c>
    </row>
    <row r="15">
      <c r="A15" t="inlineStr">
        <is>
          <t>Continuum</t>
        </is>
      </c>
      <c r="B15" t="inlineStr">
        <is>
          <t>CONT</t>
        </is>
      </c>
      <c r="C15" t="inlineStr">
        <is>
          <t>G≺B≺L≺Spec(L)≺Π≺d≺g≺R≺G</t>
        </is>
      </c>
      <c r="D15" t="inlineStr">
        <is>
          <t>discrete→continuum</t>
        </is>
      </c>
      <c r="E15" t="inlineStr">
        <is>
          <t>field geometry</t>
        </is>
      </c>
      <c r="F15" t="inlineStr">
        <is>
          <t>DERIVED</t>
        </is>
      </c>
      <c r="G15" t="inlineStr">
        <is>
          <t>R8–R21</t>
        </is>
      </c>
      <c r="H15" t="inlineStr">
        <is>
          <t>graph</t>
        </is>
      </c>
      <c r="I15" t="inlineStr">
        <is>
          <t>field</t>
        </is>
      </c>
      <c r="J15" t="inlineStr">
        <is>
          <t>SEIT</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tabColor rgb="002F5D8C"/>
    <outlinePr summaryBelow="1" summaryRight="1"/>
    <pageSetUpPr/>
  </sheetPr>
  <dimension ref="A1:I15"/>
  <sheetViews>
    <sheetView showGridLines="0" zoomScale="85" workbookViewId="0">
      <pane ySplit="3" topLeftCell="A4" activePane="bottomLeft" state="frozen"/>
      <selection pane="bottomLeft" activeCell="A1" sqref="A1"/>
    </sheetView>
  </sheetViews>
  <sheetFormatPr baseColWidth="8" defaultRowHeight="15"/>
  <cols>
    <col width="20" customWidth="1" min="1" max="1"/>
    <col width="46" customWidth="1" min="2" max="2"/>
    <col width="42" customWidth="1" min="3" max="3"/>
    <col width="42" customWidth="1" min="4" max="4"/>
    <col width="42" customWidth="1" min="5" max="5"/>
    <col width="42" customWidth="1" min="6" max="6"/>
    <col width="42" customWidth="1" min="7" max="7"/>
    <col width="36" customWidth="1" min="8" max="8"/>
    <col width="48" customWidth="1" min="9" max="9"/>
  </cols>
  <sheetData>
    <row r="1" ht="32" customHeight="1">
      <c r="A1" s="1" t="inlineStr">
        <is>
          <t>CROSS-DOMAIN EQUATION MATRIX</t>
        </is>
      </c>
    </row>
    <row r="2" ht="34" customHeight="1">
      <c r="A2" s="12" t="inlineStr">
        <is>
          <t>Canonical equation families aligned across physics and general scientific domains; mappings are compiler correspondences, not claims of literal identity.</t>
        </is>
      </c>
    </row>
    <row r="5" ht="30" customHeight="1">
      <c r="A5" s="11" t="inlineStr">
        <is>
          <t>Universal operator</t>
        </is>
      </c>
      <c r="B5" s="11" t="inlineStr">
        <is>
          <t>Physics</t>
        </is>
      </c>
      <c r="C5" s="11" t="inlineStr">
        <is>
          <t>Statistics</t>
        </is>
      </c>
      <c r="D5" s="11" t="inlineStr">
        <is>
          <t>Thermodynamics</t>
        </is>
      </c>
      <c r="E5" s="11" t="inlineStr">
        <is>
          <t>Biology</t>
        </is>
      </c>
      <c r="F5" s="11" t="inlineStr">
        <is>
          <t>Chemistry</t>
        </is>
      </c>
      <c r="G5" s="11" t="inlineStr">
        <is>
          <t>Ecology</t>
        </is>
      </c>
      <c r="H5" s="11" t="inlineStr">
        <is>
          <t>Institutions</t>
        </is>
      </c>
      <c r="I5" s="11" t="inlineStr">
        <is>
          <t>Rosetta meaning</t>
        </is>
      </c>
    </row>
    <row r="6">
      <c r="A6" t="inlineStr">
        <is>
          <t>State X</t>
        </is>
      </c>
      <c r="B6" t="inlineStr">
        <is>
          <t>ψ,φ,g</t>
        </is>
      </c>
      <c r="C6" t="inlineStr">
        <is>
          <t>P(x,t)</t>
        </is>
      </c>
      <c r="D6" t="inlineStr">
        <is>
          <t>U,V,N</t>
        </is>
      </c>
      <c r="E6" t="inlineStr">
        <is>
          <t>cell/network state</t>
        </is>
      </c>
      <c r="F6" t="inlineStr">
        <is>
          <t>composition/configuration</t>
        </is>
      </c>
      <c r="G6" t="inlineStr">
        <is>
          <t>population state</t>
        </is>
      </c>
      <c r="H6" t="inlineStr">
        <is>
          <t>organizational state</t>
        </is>
      </c>
      <c r="I6" t="inlineStr">
        <is>
          <t>configuration</t>
        </is>
      </c>
    </row>
    <row r="7">
      <c r="A7" t="inlineStr">
        <is>
          <t>Transformation T</t>
        </is>
      </c>
      <c r="B7" t="inlineStr">
        <is>
          <t>Ĥ, D_t, gauge flow</t>
        </is>
      </c>
      <c r="C7" t="inlineStr">
        <is>
          <t>𝓛*</t>
        </is>
      </c>
      <c r="D7" t="inlineStr">
        <is>
          <t>transport</t>
        </is>
      </c>
      <c r="E7" t="inlineStr">
        <is>
          <t>regulation/reaction</t>
        </is>
      </c>
      <c r="F7" t="inlineStr">
        <is>
          <t>reaction/bond change</t>
        </is>
      </c>
      <c r="G7" t="inlineStr">
        <is>
          <t>growth/interaction</t>
        </is>
      </c>
      <c r="H7" t="inlineStr">
        <is>
          <t>decision/process</t>
        </is>
      </c>
      <c r="I7" t="inlineStr">
        <is>
          <t>state transition</t>
        </is>
      </c>
    </row>
    <row r="8">
      <c r="A8" t="inlineStr">
        <is>
          <t>Constraint C</t>
        </is>
      </c>
      <c r="B8" t="inlineStr">
        <is>
          <t>conservation, gauge symmetry</t>
        </is>
      </c>
      <c r="C8" t="inlineStr">
        <is>
          <t>normalization</t>
        </is>
      </c>
      <c r="D8" t="inlineStr">
        <is>
          <t>Clausius–Duhem</t>
        </is>
      </c>
      <c r="E8" t="inlineStr">
        <is>
          <t>viability</t>
        </is>
      </c>
      <c r="F8" t="inlineStr">
        <is>
          <t>stoichiometry</t>
        </is>
      </c>
      <c r="G8" t="inlineStr">
        <is>
          <t>resources</t>
        </is>
      </c>
      <c r="H8" t="inlineStr">
        <is>
          <t>rules</t>
        </is>
      </c>
      <c r="I8" t="inlineStr">
        <is>
          <t>admissibility</t>
        </is>
      </c>
    </row>
    <row r="9">
      <c r="A9" t="inlineStr">
        <is>
          <t>Organization G</t>
        </is>
      </c>
      <c r="B9" t="inlineStr">
        <is>
          <t>interaction graph</t>
        </is>
      </c>
      <c r="C9" t="inlineStr">
        <is>
          <t>dependency graph</t>
        </is>
      </c>
      <c r="D9" t="inlineStr">
        <is>
          <t>process network</t>
        </is>
      </c>
      <c r="E9" t="inlineStr">
        <is>
          <t>regulatory network</t>
        </is>
      </c>
      <c r="F9" t="inlineStr">
        <is>
          <t>reaction network</t>
        </is>
      </c>
      <c r="G9" t="inlineStr">
        <is>
          <t>food web</t>
        </is>
      </c>
      <c r="H9" t="inlineStr">
        <is>
          <t>institutional network</t>
        </is>
      </c>
      <c r="I9" t="inlineStr">
        <is>
          <t>relations</t>
        </is>
      </c>
    </row>
    <row r="10">
      <c r="A10" t="inlineStr">
        <is>
          <t>Operator L</t>
        </is>
      </c>
      <c r="B10" t="inlineStr">
        <is>
          <t>Laplacian / field operator</t>
        </is>
      </c>
      <c r="C10" t="inlineStr">
        <is>
          <t>generator</t>
        </is>
      </c>
      <c r="D10" t="inlineStr">
        <is>
          <t>transport operator</t>
        </is>
      </c>
      <c r="E10" t="inlineStr">
        <is>
          <t>network dynamics</t>
        </is>
      </c>
      <c r="F10" t="inlineStr">
        <is>
          <t>reaction operator</t>
        </is>
      </c>
      <c r="G10" t="inlineStr">
        <is>
          <t>interaction operator</t>
        </is>
      </c>
      <c r="H10" t="inlineStr">
        <is>
          <t>transition operator</t>
        </is>
      </c>
      <c r="I10" t="inlineStr">
        <is>
          <t>structural dynamics</t>
        </is>
      </c>
    </row>
    <row r="11">
      <c r="A11" t="inlineStr">
        <is>
          <t>Spectrum</t>
        </is>
      </c>
      <c r="B11" t="inlineStr">
        <is>
          <t>λ_i,σ_i</t>
        </is>
      </c>
      <c r="C11" t="inlineStr">
        <is>
          <t>eigenmodes</t>
        </is>
      </c>
      <c r="D11" t="inlineStr">
        <is>
          <t>relaxation modes</t>
        </is>
      </c>
      <c r="E11" t="inlineStr">
        <is>
          <t>network modes</t>
        </is>
      </c>
      <c r="F11" t="inlineStr">
        <is>
          <t>reaction modes</t>
        </is>
      </c>
      <c r="G11" t="inlineStr">
        <is>
          <t>stability modes</t>
        </is>
      </c>
      <c r="H11" t="inlineStr">
        <is>
          <t>organizational modes</t>
        </is>
      </c>
      <c r="I11" t="inlineStr">
        <is>
          <t>mode decomposition</t>
        </is>
      </c>
    </row>
    <row r="12">
      <c r="A12" t="inlineStr">
        <is>
          <t>Persistence Π</t>
        </is>
      </c>
      <c r="B12" t="inlineStr">
        <is>
          <t>spectral sector</t>
        </is>
      </c>
      <c r="C12" t="inlineStr">
        <is>
          <t>stationary/persistent distribution</t>
        </is>
      </c>
      <c r="D12" t="inlineStr">
        <is>
          <t>stable thermodynamic regime</t>
        </is>
      </c>
      <c r="E12" t="inlineStr">
        <is>
          <t>stable phenotype/network</t>
        </is>
      </c>
      <c r="F12" t="inlineStr">
        <is>
          <t>persistent pathway</t>
        </is>
      </c>
      <c r="G12" t="inlineStr">
        <is>
          <t>persistent population</t>
        </is>
      </c>
      <c r="H12" t="inlineStr">
        <is>
          <t>institutional persistence</t>
        </is>
      </c>
      <c r="I12" t="inlineStr">
        <is>
          <t>stable organization</t>
        </is>
      </c>
    </row>
    <row r="13">
      <c r="A13" t="inlineStr">
        <is>
          <t>Metric g</t>
        </is>
      </c>
      <c r="B13" t="inlineStr">
        <is>
          <t>g_{μν}</t>
        </is>
      </c>
      <c r="C13" t="inlineStr">
        <is>
          <t>Fisher–Rao</t>
        </is>
      </c>
      <c r="D13" t="inlineStr">
        <is>
          <t>thermodynamic metric</t>
        </is>
      </c>
      <c r="E13" t="inlineStr">
        <is>
          <t>state similarity</t>
        </is>
      </c>
      <c r="F13" t="inlineStr">
        <is>
          <t>configuration metric</t>
        </is>
      </c>
      <c r="G13" t="inlineStr">
        <is>
          <t>landscape metric</t>
        </is>
      </c>
      <c r="H13" t="inlineStr">
        <is>
          <t>relational metric</t>
        </is>
      </c>
      <c r="I13" t="inlineStr">
        <is>
          <t>relational geometry</t>
        </is>
      </c>
    </row>
    <row r="14">
      <c r="A14" t="inlineStr">
        <is>
          <t>Curvature R</t>
        </is>
      </c>
      <c r="B14" t="inlineStr">
        <is>
          <t>Riemann/Ricci</t>
        </is>
      </c>
      <c r="C14" t="inlineStr">
        <is>
          <t>information curvature</t>
        </is>
      </c>
      <c r="D14" t="inlineStr">
        <is>
          <t>thermodynamic curvature</t>
        </is>
      </c>
      <c r="E14" t="inlineStr">
        <is>
          <t>state-space curvature</t>
        </is>
      </c>
      <c r="F14" t="inlineStr">
        <is>
          <t>configuration curvature</t>
        </is>
      </c>
      <c r="G14" t="inlineStr">
        <is>
          <t>ecological landscape curvature</t>
        </is>
      </c>
      <c r="H14" t="inlineStr">
        <is>
          <t>organizational curvature</t>
        </is>
      </c>
      <c r="I14" t="inlineStr">
        <is>
          <t>nonuniform organization</t>
        </is>
      </c>
    </row>
    <row r="15">
      <c r="A15" t="inlineStr">
        <is>
          <t>Functional S/I_F</t>
        </is>
      </c>
      <c r="B15" t="inlineStr">
        <is>
          <t>Einstein-Hilbert/action</t>
        </is>
      </c>
      <c r="C15" t="inlineStr">
        <is>
          <t>Fisher/free energy</t>
        </is>
      </c>
      <c r="D15" t="inlineStr">
        <is>
          <t>entropy production/free energy</t>
        </is>
      </c>
      <c r="E15" t="inlineStr">
        <is>
          <t>free-energy / regulation</t>
        </is>
      </c>
      <c r="F15" t="inlineStr">
        <is>
          <t>chemical potential/action</t>
        </is>
      </c>
      <c r="G15" t="inlineStr">
        <is>
          <t>fitness/cost</t>
        </is>
      </c>
      <c r="H15" t="inlineStr">
        <is>
          <t>utility/cost</t>
        </is>
      </c>
      <c r="I15" t="inlineStr">
        <is>
          <t>variational driver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tabColor rgb="00C89B3C"/>
    <outlinePr summaryBelow="1" summaryRight="1"/>
    <pageSetUpPr/>
  </sheetPr>
  <dimension ref="A1:I11"/>
  <sheetViews>
    <sheetView showGridLines="0" zoomScale="85" workbookViewId="0">
      <pane ySplit="3" topLeftCell="A4" activePane="bottomLeft" state="frozen"/>
      <selection pane="bottomLeft" activeCell="A1" sqref="A1"/>
    </sheetView>
  </sheetViews>
  <sheetFormatPr baseColWidth="8" defaultRowHeight="15"/>
  <cols>
    <col width="16" customWidth="1" min="1" max="1"/>
    <col width="28" customWidth="1" min="2" max="2"/>
    <col width="30" customWidth="1" min="3" max="3"/>
    <col width="40" customWidth="1" min="4" max="4"/>
    <col width="42" customWidth="1" min="5" max="5"/>
    <col width="28" customWidth="1" min="6" max="6"/>
    <col width="28" customWidth="1" min="7" max="7"/>
    <col width="42" customWidth="1" min="8" max="8"/>
    <col width="50" customWidth="1" min="9" max="9"/>
  </cols>
  <sheetData>
    <row r="1" ht="32" customHeight="1">
      <c r="A1" s="1" t="inlineStr">
        <is>
          <t>UNIVERSAL CONSTANT UNIFICATION MATRIX</t>
        </is>
      </c>
    </row>
    <row r="2" ht="34" customHeight="1">
      <c r="A2" s="12" t="inlineStr">
        <is>
          <t>Source-derived UCCP/UCA structure for organizing constants by compiler role and dependency.</t>
        </is>
      </c>
    </row>
    <row r="5" ht="30" customHeight="1">
      <c r="A5" s="11" t="inlineStr">
        <is>
          <t>Type</t>
        </is>
      </c>
      <c r="B5" s="11" t="inlineStr">
        <is>
          <t>Symbol</t>
        </is>
      </c>
      <c r="C5" s="11" t="inlineStr">
        <is>
          <t>Compiler role</t>
        </is>
      </c>
      <c r="D5" s="11" t="inlineStr">
        <is>
          <t>DTC analogue</t>
        </is>
      </c>
      <c r="E5" s="11" t="inlineStr">
        <is>
          <t>Typical physical character</t>
        </is>
      </c>
      <c r="F5" s="11" t="inlineStr">
        <is>
          <t>Dependency level</t>
        </is>
      </c>
      <c r="G5" s="11" t="inlineStr">
        <is>
          <t>UCA node</t>
        </is>
      </c>
      <c r="H5" s="11" t="inlineStr">
        <is>
          <t>Active use</t>
        </is>
      </c>
      <c r="I5" s="11" t="inlineStr">
        <is>
          <t>Source</t>
        </is>
      </c>
    </row>
    <row r="6">
      <c r="A6" t="inlineStr">
        <is>
          <t>Transformation</t>
        </is>
      </c>
      <c r="B6" t="inlineStr">
        <is>
          <t>T</t>
        </is>
      </c>
      <c r="C6" t="inlineStr">
        <is>
          <t>state change / propagation</t>
        </is>
      </c>
      <c r="D6" t="inlineStr">
        <is>
          <t>τ</t>
        </is>
      </c>
      <c r="E6" t="inlineStr">
        <is>
          <t>velocity/action/force scales</t>
        </is>
      </c>
      <c r="F6" t="inlineStr">
        <is>
          <t>typed hierarchy</t>
        </is>
      </c>
      <c r="G6" t="inlineStr">
        <is>
          <t>(σ,δ,τ_c,D,X,I)</t>
        </is>
      </c>
      <c r="H6" t="inlineStr">
        <is>
          <t>ACTIVE</t>
        </is>
      </c>
      <c r="I6" t="inlineStr">
        <is>
          <t>UCCP/UCA</t>
        </is>
      </c>
    </row>
    <row r="7">
      <c r="A7" t="inlineStr">
        <is>
          <t>Constraint</t>
        </is>
      </c>
      <c r="B7" t="inlineStr">
        <is>
          <t>K</t>
        </is>
      </c>
      <c r="C7" t="inlineStr">
        <is>
          <t>restrict accessible states</t>
        </is>
      </c>
      <c r="D7" t="inlineStr">
        <is>
          <t>κ</t>
        </is>
      </c>
      <c r="E7" t="inlineStr">
        <is>
          <t>cutoffs/couplings/selection rules</t>
        </is>
      </c>
      <c r="F7" t="inlineStr">
        <is>
          <t>typed hierarchy</t>
        </is>
      </c>
      <c r="G7" t="inlineStr">
        <is>
          <t>(σ,δ,τ_c,D,X,I)</t>
        </is>
      </c>
      <c r="H7" t="inlineStr">
        <is>
          <t>ACTIVE</t>
        </is>
      </c>
      <c r="I7" t="inlineStr">
        <is>
          <t>UCCP/UCA</t>
        </is>
      </c>
    </row>
    <row r="8">
      <c r="A8" t="inlineStr">
        <is>
          <t>Persistence</t>
        </is>
      </c>
      <c r="B8" t="inlineStr">
        <is>
          <t>P</t>
        </is>
      </c>
      <c r="C8" t="inlineStr">
        <is>
          <t>stable organization/invariants</t>
        </is>
      </c>
      <c r="D8" t="inlineStr">
        <is>
          <t>Π</t>
        </is>
      </c>
      <c r="E8" t="inlineStr">
        <is>
          <t>spectral invariants/mass ratios/fixed-point data</t>
        </is>
      </c>
      <c r="F8" t="inlineStr">
        <is>
          <t>typed hierarchy</t>
        </is>
      </c>
      <c r="G8" t="inlineStr">
        <is>
          <t>(σ,δ,τ_c,D,X,I)</t>
        </is>
      </c>
      <c r="H8" t="inlineStr">
        <is>
          <t>ACTIVE</t>
        </is>
      </c>
      <c r="I8" t="inlineStr">
        <is>
          <t>UCCP/UCA</t>
        </is>
      </c>
    </row>
    <row r="9">
      <c r="A9" t="inlineStr">
        <is>
          <t>Structural</t>
        </is>
      </c>
      <c r="B9" t="inlineStr">
        <is>
          <t>S</t>
        </is>
      </c>
      <c r="C9" t="inlineStr">
        <is>
          <t>geometry of state space</t>
        </is>
      </c>
      <c r="D9" t="inlineStr">
        <is>
          <t>Δ</t>
        </is>
      </c>
      <c r="E9" t="inlineStr">
        <is>
          <t>metric/information geometry/identity operators</t>
        </is>
      </c>
      <c r="F9" t="inlineStr">
        <is>
          <t>typed hierarchy</t>
        </is>
      </c>
      <c r="G9" t="inlineStr">
        <is>
          <t>(σ,δ,τ_c,D,X,I)</t>
        </is>
      </c>
      <c r="H9" t="inlineStr">
        <is>
          <t>ACTIVE</t>
        </is>
      </c>
      <c r="I9" t="inlineStr">
        <is>
          <t>UCCP/UCA</t>
        </is>
      </c>
    </row>
    <row r="10">
      <c r="A10" t="inlineStr">
        <is>
          <t>Root constant</t>
        </is>
      </c>
      <c r="B10" t="inlineStr">
        <is>
          <t>—</t>
        </is>
      </c>
      <c r="C10" t="inlineStr">
        <is>
          <t>empirical boundary input</t>
        </is>
      </c>
      <c r="D10" t="inlineStr">
        <is>
          <t>—</t>
        </is>
      </c>
      <c r="E10" t="inlineStr">
        <is>
          <t>admitted without derivation</t>
        </is>
      </c>
      <c r="F10" t="inlineStr">
        <is>
          <t>0</t>
        </is>
      </c>
      <c r="G10" t="inlineStr">
        <is>
          <t>UCA node</t>
        </is>
      </c>
      <c r="H10" t="inlineStr">
        <is>
          <t>ACTIVE as external boundary</t>
        </is>
      </c>
      <c r="I10" t="inlineStr">
        <is>
          <t>UCCP/UCA</t>
        </is>
      </c>
    </row>
    <row r="11">
      <c r="A11" t="inlineStr">
        <is>
          <t>Derived constant</t>
        </is>
      </c>
      <c r="B11" t="inlineStr">
        <is>
          <t>—</t>
        </is>
      </c>
      <c r="C11" t="inlineStr">
        <is>
          <t>compiler-produced constant</t>
        </is>
      </c>
      <c r="D11" t="inlineStr">
        <is>
          <t>—</t>
        </is>
      </c>
      <c r="E11" t="inlineStr">
        <is>
          <t>derived through certified MDCL chain</t>
        </is>
      </c>
      <c r="F11" t="inlineStr">
        <is>
          <t>≥1</t>
        </is>
      </c>
      <c r="G11" t="inlineStr">
        <is>
          <t>UCA node</t>
        </is>
      </c>
      <c r="H11" t="inlineStr">
        <is>
          <t>ACTIVE only with certified chain</t>
        </is>
      </c>
      <c r="I11" t="inlineStr">
        <is>
          <t>UCCP/UCA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tabColor rgb="006B7280"/>
    <outlinePr summaryBelow="1" summaryRight="1"/>
    <pageSetUpPr/>
  </sheetPr>
  <dimension ref="A1:I18"/>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30" customWidth="1" min="3" max="3"/>
    <col width="46" customWidth="1" min="4" max="4"/>
    <col width="48" customWidth="1" min="5" max="5"/>
    <col width="34" customWidth="1" min="6" max="6"/>
    <col width="34" customWidth="1" min="7" max="7"/>
    <col width="34" customWidth="1" min="8" max="8"/>
    <col width="52" customWidth="1" min="9" max="9"/>
  </cols>
  <sheetData>
    <row r="1" ht="32" customHeight="1">
      <c r="A1" s="1" t="inlineStr">
        <is>
          <t>HISTORICAL MATRIX ARCHIVE</t>
        </is>
      </c>
    </row>
    <row r="2" ht="34" customHeight="1">
      <c r="A2" s="12" t="inlineStr">
        <is>
          <t>Source-derived prior matrices preserved for provenance only. These rows are NOT active inputs and are not propagated into the canonical derivation.</t>
        </is>
      </c>
    </row>
    <row r="5" ht="30" customHeight="1">
      <c r="A5" s="11" t="inlineStr">
        <is>
          <t>Source matrix</t>
        </is>
      </c>
      <c r="B5" s="11" t="inlineStr">
        <is>
          <t>ARC / ID</t>
        </is>
      </c>
      <c r="C5" s="11" t="inlineStr">
        <is>
          <t>Part</t>
        </is>
      </c>
      <c r="D5" s="11" t="inlineStr">
        <is>
          <t>Object</t>
        </is>
      </c>
      <c r="E5" s="11" t="inlineStr">
        <is>
          <t>Historical formulation</t>
        </is>
      </c>
      <c r="F5" s="11" t="inlineStr">
        <is>
          <t>Historical status</t>
        </is>
      </c>
      <c r="G5" s="11" t="inlineStr">
        <is>
          <t>Canonical treatment now</t>
        </is>
      </c>
      <c r="H5" s="11" t="inlineStr">
        <is>
          <t>Active?</t>
        </is>
      </c>
      <c r="I5" s="11" t="inlineStr">
        <is>
          <t>Source citation</t>
        </is>
      </c>
    </row>
    <row r="6">
      <c r="A6" t="inlineStr">
        <is>
          <t>UOC_SEIT Combined Master Matrix</t>
        </is>
      </c>
      <c r="B6" t="inlineStr">
        <is>
          <t>ARC-015</t>
        </is>
      </c>
      <c r="C6" t="inlineStr">
        <is>
          <t>I</t>
        </is>
      </c>
      <c r="D6" t="inlineStr">
        <is>
          <t>DTC grammar</t>
        </is>
      </c>
      <c r="E6" t="inlineStr">
        <is>
          <t>Δ→τ→κ→Π</t>
        </is>
      </c>
      <c r="F6" t="inlineStr">
        <is>
          <t>Framework / not globally reconciled</t>
        </is>
      </c>
      <c r="G6" t="inlineStr">
        <is>
          <t>Superseded as top-level primitive notation by current DTC/MDCL canonicalization; retain as provenance</t>
        </is>
      </c>
      <c r="H6" t="inlineStr">
        <is>
          <t>NO</t>
        </is>
      </c>
      <c r="I6" t="inlineStr">
        <is>
          <t>fileciteturn14file1</t>
        </is>
      </c>
    </row>
    <row r="7">
      <c r="A7" t="inlineStr">
        <is>
          <t>UOC_SEIT Combined Master Matrix</t>
        </is>
      </c>
      <c r="B7" t="inlineStr">
        <is>
          <t>ARC-019</t>
        </is>
      </c>
      <c r="C7" t="inlineStr">
        <is>
          <t>III</t>
        </is>
      </c>
      <c r="D7" t="inlineStr">
        <is>
          <t>Gradient chain</t>
        </is>
      </c>
      <c r="E7" t="inlineStr">
        <is>
          <t>∇→κ→𝒪→F→W_c→Π→Ψ→E</t>
        </is>
      </c>
      <c r="F7" t="inlineStr">
        <is>
          <t>Open / unreconciled</t>
        </is>
      </c>
      <c r="G7" t="inlineStr">
        <is>
          <t>Historical alternative; not active selector</t>
        </is>
      </c>
      <c r="H7" t="inlineStr">
        <is>
          <t>NO</t>
        </is>
      </c>
      <c r="I7" t="inlineStr">
        <is>
          <t>fileciteturn14file2</t>
        </is>
      </c>
    </row>
    <row r="8">
      <c r="A8" t="inlineStr">
        <is>
          <t>UOC_SEIT Combined Master Matrix</t>
        </is>
      </c>
      <c r="B8" t="inlineStr">
        <is>
          <t>ARC-022</t>
        </is>
      </c>
      <c r="C8" t="inlineStr">
        <is>
          <t>II</t>
        </is>
      </c>
      <c r="D8" t="inlineStr">
        <is>
          <t>Primitive reduction</t>
        </is>
      </c>
      <c r="E8" t="inlineStr">
        <is>
          <t>Object, Relation, Operator, Constraint, State</t>
        </is>
      </c>
      <c r="F8" t="inlineStr">
        <is>
          <t>Candidate</t>
        </is>
      </c>
      <c r="G8" t="inlineStr">
        <is>
          <t>Historical candidate basis; not active primitive grammar</t>
        </is>
      </c>
      <c r="H8" t="inlineStr">
        <is>
          <t>NO</t>
        </is>
      </c>
      <c r="I8" t="inlineStr">
        <is>
          <t>fileciteturn14file1</t>
        </is>
      </c>
    </row>
    <row r="9">
      <c r="A9" t="inlineStr">
        <is>
          <t>UOC_SEIT Combined Master Matrix</t>
        </is>
      </c>
      <c r="B9" t="inlineStr">
        <is>
          <t>ARC-028</t>
        </is>
      </c>
      <c r="C9" t="inlineStr">
        <is>
          <t>II</t>
        </is>
      </c>
      <c r="D9" t="inlineStr">
        <is>
          <t>Universal functional</t>
        </is>
      </c>
      <c r="E9" t="inlineStr">
        <is>
          <t>single master scalar functional</t>
        </is>
      </c>
      <c r="F9" t="inlineStr">
        <is>
          <t>Candidate</t>
        </is>
      </c>
      <c r="G9" t="inlineStr">
        <is>
          <t>Research-history record only</t>
        </is>
      </c>
      <c r="H9" t="inlineStr">
        <is>
          <t>NO</t>
        </is>
      </c>
      <c r="I9" t="inlineStr">
        <is>
          <t>fileciteturn13file2</t>
        </is>
      </c>
    </row>
    <row r="10">
      <c r="A10" t="inlineStr">
        <is>
          <t>UOC_SEIT Combined Master Matrix</t>
        </is>
      </c>
      <c r="B10" t="inlineStr">
        <is>
          <t>ARC-033</t>
        </is>
      </c>
      <c r="C10" t="inlineStr">
        <is>
          <t>II</t>
        </is>
      </c>
      <c r="D10" t="inlineStr">
        <is>
          <t>Universal representation</t>
        </is>
      </c>
      <c r="E10" t="inlineStr">
        <is>
          <t>unified normal form</t>
        </is>
      </c>
      <c r="F10" t="inlineStr">
        <is>
          <t>Working/conjectural</t>
        </is>
      </c>
      <c r="G10" t="inlineStr">
        <is>
          <t>Current URS architecture is active replacement</t>
        </is>
      </c>
      <c r="H10" t="inlineStr">
        <is>
          <t>NO</t>
        </is>
      </c>
      <c r="I10" t="inlineStr">
        <is>
          <t>fileciteturn13file2</t>
        </is>
      </c>
    </row>
    <row r="11">
      <c r="A11" t="inlineStr">
        <is>
          <t>UOC_SEIT Combined Master Matrix</t>
        </is>
      </c>
      <c r="B11" t="inlineStr">
        <is>
          <t>ARC-034</t>
        </is>
      </c>
      <c r="C11" t="inlineStr">
        <is>
          <t>II</t>
        </is>
      </c>
      <c r="D11" t="inlineStr">
        <is>
          <t>UMCC hierarchy</t>
        </is>
      </c>
      <c r="E11" t="inlineStr">
        <is>
          <t>T0→T20</t>
        </is>
      </c>
      <c r="F11" t="inlineStr">
        <is>
          <t>Catalog</t>
        </is>
      </c>
      <c r="G11" t="inlineStr">
        <is>
          <t>Retain as historical organizational hierarchy</t>
        </is>
      </c>
      <c r="H11" t="inlineStr">
        <is>
          <t>NO</t>
        </is>
      </c>
      <c r="I11" t="inlineStr">
        <is>
          <t>fileciteturn15file10</t>
        </is>
      </c>
    </row>
    <row r="12">
      <c r="A12" t="inlineStr">
        <is>
          <t>UOC_SEIT Combined Master Matrix</t>
        </is>
      </c>
      <c r="B12" t="inlineStr">
        <is>
          <t>ARC-039</t>
        </is>
      </c>
      <c r="C12" t="inlineStr">
        <is>
          <t>II</t>
        </is>
      </c>
      <c r="D12" t="inlineStr">
        <is>
          <t>UDM spectral triple route</t>
        </is>
      </c>
      <c r="E12" t="inlineStr">
        <is>
          <t>Topos→C*→GNS→spectral triple→spectral action</t>
        </is>
      </c>
      <c r="F12" t="inlineStr">
        <is>
          <t>Conjectural</t>
        </is>
      </c>
      <c r="G12" t="inlineStr">
        <is>
          <t>Historical route; not active unless independently admitted</t>
        </is>
      </c>
      <c r="H12" t="inlineStr">
        <is>
          <t>NO</t>
        </is>
      </c>
      <c r="I12" t="inlineStr">
        <is>
          <t>fileciteturn13file3</t>
        </is>
      </c>
    </row>
    <row r="13">
      <c r="A13" t="inlineStr">
        <is>
          <t>UOC_SEIT Combined Master Matrix</t>
        </is>
      </c>
      <c r="B13" t="inlineStr">
        <is>
          <t>ARC-041</t>
        </is>
      </c>
      <c r="C13" t="inlineStr">
        <is>
          <t>III</t>
        </is>
      </c>
      <c r="D13" t="inlineStr">
        <is>
          <t>Gradient chain</t>
        </is>
      </c>
      <c r="E13" t="inlineStr">
        <is>
          <t>∇→κ→𝒪→F→W_c→Π→Ψ→E</t>
        </is>
      </c>
      <c r="F13" t="inlineStr">
        <is>
          <t>Open / unreconciled</t>
        </is>
      </c>
      <c r="G13" t="inlineStr">
        <is>
          <t>Not active</t>
        </is>
      </c>
      <c r="H13" t="inlineStr">
        <is>
          <t>NO</t>
        </is>
      </c>
      <c r="I13" t="inlineStr">
        <is>
          <t>fileciteturn14file2</t>
        </is>
      </c>
    </row>
    <row r="14">
      <c r="A14" t="inlineStr">
        <is>
          <t>UOC_SEIT Combined Master Matrix</t>
        </is>
      </c>
      <c r="B14" t="inlineStr">
        <is>
          <t>ARC-042</t>
        </is>
      </c>
      <c r="C14" t="inlineStr">
        <is>
          <t>III</t>
        </is>
      </c>
      <c r="D14" t="inlineStr">
        <is>
          <t>Four worked systems</t>
        </is>
      </c>
      <c r="E14" t="inlineStr">
        <is>
          <t>Stars/Rivers/Life/Civilizations</t>
        </is>
      </c>
      <c r="F14" t="inlineStr">
        <is>
          <t>Illustrative</t>
        </is>
      </c>
      <c r="G14" t="inlineStr">
        <is>
          <t>Cross-domain example only</t>
        </is>
      </c>
      <c r="H14" t="inlineStr">
        <is>
          <t>NO</t>
        </is>
      </c>
      <c r="I14" t="inlineStr">
        <is>
          <t>fileciteturn14file2</t>
        </is>
      </c>
    </row>
    <row r="15">
      <c r="A15" t="inlineStr">
        <is>
          <t>UOC_SEIT Combined Master Matrix</t>
        </is>
      </c>
      <c r="B15" t="inlineStr">
        <is>
          <t>ARC-059</t>
        </is>
      </c>
      <c r="C15" t="inlineStr">
        <is>
          <t>IV</t>
        </is>
      </c>
      <c r="D15" t="inlineStr">
        <is>
          <t>Retired Lorentzian routes</t>
        </is>
      </c>
      <c r="E15" t="inlineStr">
        <is>
          <t>Fisher information; signed Laplacian; balance theory</t>
        </is>
      </c>
      <c r="F15" t="inlineStr">
        <is>
          <t>Retired</t>
        </is>
      </c>
      <c r="G15" t="inlineStr">
        <is>
          <t>Excluded from active state</t>
        </is>
      </c>
      <c r="H15" t="inlineStr">
        <is>
          <t>NO</t>
        </is>
      </c>
      <c r="I15" t="inlineStr">
        <is>
          <t>fileciteturn14file3</t>
        </is>
      </c>
    </row>
    <row r="16">
      <c r="A16" t="inlineStr">
        <is>
          <t>UOC_SEIT Combined Master Matrix</t>
        </is>
      </c>
      <c r="B16" t="inlineStr">
        <is>
          <t>ARC-063</t>
        </is>
      </c>
      <c r="C16" t="inlineStr">
        <is>
          <t>V</t>
        </is>
      </c>
      <c r="D16" t="inlineStr">
        <is>
          <t>UGNT normal forms</t>
        </is>
      </c>
      <c r="E16" t="inlineStr">
        <is>
          <t>rewrite normal forms</t>
        </is>
      </c>
      <c r="F16" t="inlineStr">
        <is>
          <t>Theorems open</t>
        </is>
      </c>
      <c r="G16" t="inlineStr">
        <is>
          <t>Framework may inform future type system; not asserted closed</t>
        </is>
      </c>
      <c r="H16" t="inlineStr">
        <is>
          <t>NO</t>
        </is>
      </c>
      <c r="I16" t="inlineStr">
        <is>
          <t>fileciteturn14file3</t>
        </is>
      </c>
    </row>
    <row r="17">
      <c r="A17" t="inlineStr">
        <is>
          <t>UOC_SEIT Combined Master Matrix</t>
        </is>
      </c>
      <c r="B17" t="inlineStr">
        <is>
          <t>ARC-068</t>
        </is>
      </c>
      <c r="C17" t="inlineStr">
        <is>
          <t>V</t>
        </is>
      </c>
      <c r="D17" t="inlineStr">
        <is>
          <t>MDCL-0002 category</t>
        </is>
      </c>
      <c r="E17" t="inlineStr">
        <is>
          <t>higher-order compiler category</t>
        </is>
      </c>
      <c r="F17" t="inlineStr">
        <is>
          <t>Research objective</t>
        </is>
      </c>
      <c r="G17" t="inlineStr">
        <is>
          <t>Not part of active MDCL until constructed</t>
        </is>
      </c>
      <c r="H17" t="inlineStr">
        <is>
          <t>NO</t>
        </is>
      </c>
      <c r="I17" t="inlineStr">
        <is>
          <t>fileciteturn14file3</t>
        </is>
      </c>
    </row>
    <row r="18">
      <c r="A18" t="inlineStr">
        <is>
          <t>UOC_SEIT Combined Master Matrix</t>
        </is>
      </c>
      <c r="B18" t="inlineStr">
        <is>
          <t>ARC-069</t>
        </is>
      </c>
      <c r="C18" t="inlineStr">
        <is>
          <t>V</t>
        </is>
      </c>
      <c r="D18" t="inlineStr">
        <is>
          <t>Primitive grammar reconciliation</t>
        </is>
      </c>
      <c r="E18" t="inlineStr">
        <is>
          <t>DTC vs v1 vs v2</t>
        </is>
      </c>
      <c r="F18" t="inlineStr">
        <is>
          <t>Open problem</t>
        </is>
      </c>
      <c r="G18" t="inlineStr">
        <is>
          <t>Resolved operationally by current canonical DTC/URS state; historical alternatives remain archived</t>
        </is>
      </c>
      <c r="H18" t="inlineStr">
        <is>
          <t>NO</t>
        </is>
      </c>
      <c r="I18" t="inlineStr">
        <is>
          <t>fileciteturn14file3</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tabColor rgb="0017233C"/>
    <outlinePr summaryBelow="1" summaryRight="1"/>
    <pageSetUpPr/>
  </sheetPr>
  <dimension ref="A1:G2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14" customWidth="1" min="3" max="3"/>
    <col width="46" customWidth="1" min="4" max="4"/>
    <col width="38" customWidth="1" min="5" max="5"/>
    <col width="32" customWidth="1" min="6" max="6"/>
    <col width="54" customWidth="1" min="7" max="7"/>
  </cols>
  <sheetData>
    <row r="1" ht="32" customHeight="1">
      <c r="A1" s="1" t="inlineStr">
        <is>
          <t>UNIFIED MASTER DEPENDENCY CHAIN</t>
        </is>
      </c>
    </row>
    <row r="2" ht="34" customHeight="1">
      <c r="A2" s="12" t="inlineStr">
        <is>
          <t>Consolidated dependency chain across the Rosetta, ARBS, spectral, geometry, variational, quantum, NCG, matter, continuum, and scale branches.</t>
        </is>
      </c>
    </row>
    <row r="5" ht="30" customHeight="1">
      <c r="A5" s="11" t="inlineStr">
        <is>
          <t>Order</t>
        </is>
      </c>
      <c r="B5" s="11" t="inlineStr">
        <is>
          <t>Node</t>
        </is>
      </c>
      <c r="C5" s="11" t="inlineStr">
        <is>
          <t>Relation</t>
        </is>
      </c>
      <c r="D5" s="11" t="inlineStr">
        <is>
          <t>Depends on</t>
        </is>
      </c>
      <c r="E5" s="11" t="inlineStr">
        <is>
          <t>Downstream role</t>
        </is>
      </c>
      <c r="F5" s="11" t="inlineStr">
        <is>
          <t>Status</t>
        </is>
      </c>
      <c r="G5" s="11" t="inlineStr">
        <is>
          <t>Canonical chain position</t>
        </is>
      </c>
    </row>
    <row r="6">
      <c r="A6" t="n">
        <v>1</v>
      </c>
      <c r="B6" t="inlineStr">
        <is>
          <t>Γ</t>
        </is>
      </c>
      <c r="C6" t="inlineStr">
        <is>
          <t>≺</t>
        </is>
      </c>
      <c r="D6" t="inlineStr">
        <is>
          <t>D,T,C</t>
        </is>
      </c>
      <c r="E6" t="inlineStr">
        <is>
          <t>universal grammar</t>
        </is>
      </c>
      <c r="F6" t="inlineStr">
        <is>
          <t>DERIVED</t>
        </is>
      </c>
      <c r="G6" t="inlineStr">
        <is>
          <t>Γ</t>
        </is>
      </c>
    </row>
    <row r="7">
      <c r="A7" t="n">
        <v>2</v>
      </c>
      <c r="B7" t="inlineStr">
        <is>
          <t>ARBS</t>
        </is>
      </c>
      <c r="C7" t="inlineStr">
        <is>
          <t>≺</t>
        </is>
      </c>
      <c r="D7" t="inlineStr">
        <is>
          <t>Γ</t>
        </is>
      </c>
      <c r="E7" t="inlineStr">
        <is>
          <t>organizational realization</t>
        </is>
      </c>
      <c r="F7" t="inlineStr">
        <is>
          <t>CALCULATED</t>
        </is>
      </c>
      <c r="G7" t="inlineStr">
        <is>
          <t>Γ≺ARBS</t>
        </is>
      </c>
    </row>
    <row r="8">
      <c r="A8" t="n">
        <v>3</v>
      </c>
      <c r="B8" t="inlineStr">
        <is>
          <t>G★</t>
        </is>
      </c>
      <c r="C8" t="inlineStr">
        <is>
          <t>≺</t>
        </is>
      </c>
      <c r="D8" t="inlineStr">
        <is>
          <t>ARBS</t>
        </is>
      </c>
      <c r="E8" t="inlineStr">
        <is>
          <t>selected organization</t>
        </is>
      </c>
      <c r="F8" t="inlineStr">
        <is>
          <t>DERIVED/CALCULATED when selection closes</t>
        </is>
      </c>
      <c r="G8" t="inlineStr">
        <is>
          <t>ARBS≺G★</t>
        </is>
      </c>
    </row>
    <row r="9">
      <c r="A9" t="n">
        <v>4</v>
      </c>
      <c r="B9" t="inlineStr">
        <is>
          <t>B</t>
        </is>
      </c>
      <c r="C9" t="inlineStr">
        <is>
          <t>≺</t>
        </is>
      </c>
      <c r="D9" t="inlineStr">
        <is>
          <t>G★</t>
        </is>
      </c>
      <c r="E9" t="inlineStr">
        <is>
          <t>incidence structure</t>
        </is>
      </c>
      <c r="F9" t="inlineStr">
        <is>
          <t>CALCULATED</t>
        </is>
      </c>
      <c r="G9" t="inlineStr">
        <is>
          <t>G★≺B</t>
        </is>
      </c>
    </row>
    <row r="10">
      <c r="A10" t="n">
        <v>5</v>
      </c>
      <c r="B10" t="inlineStr">
        <is>
          <t>L</t>
        </is>
      </c>
      <c r="C10" t="inlineStr">
        <is>
          <t>≺</t>
        </is>
      </c>
      <c r="D10" t="inlineStr">
        <is>
          <t>B</t>
        </is>
      </c>
      <c r="E10" t="inlineStr">
        <is>
          <t>Laplacian</t>
        </is>
      </c>
      <c r="F10" t="inlineStr">
        <is>
          <t>CALCULATED</t>
        </is>
      </c>
      <c r="G10" t="inlineStr">
        <is>
          <t>B≺L</t>
        </is>
      </c>
    </row>
    <row r="11">
      <c r="A11" t="n">
        <v>6</v>
      </c>
      <c r="B11" t="inlineStr">
        <is>
          <t>D_G</t>
        </is>
      </c>
      <c r="C11" t="inlineStr">
        <is>
          <t>≺</t>
        </is>
      </c>
      <c r="D11" t="inlineStr">
        <is>
          <t>L/B</t>
        </is>
      </c>
      <c r="E11" t="inlineStr">
        <is>
          <t>Dirac lift</t>
        </is>
      </c>
      <c r="F11" t="inlineStr">
        <is>
          <t>CALCULATED</t>
        </is>
      </c>
      <c r="G11" t="inlineStr">
        <is>
          <t>L≺D_G</t>
        </is>
      </c>
    </row>
    <row r="12">
      <c r="A12" t="n">
        <v>7</v>
      </c>
      <c r="B12" t="inlineStr">
        <is>
          <t>Spec(D_G)</t>
        </is>
      </c>
      <c r="C12" t="inlineStr">
        <is>
          <t>≺</t>
        </is>
      </c>
      <c r="D12" t="inlineStr">
        <is>
          <t>D_G</t>
        </is>
      </c>
      <c r="E12" t="inlineStr">
        <is>
          <t>positive singular spectrum</t>
        </is>
      </c>
      <c r="F12" t="inlineStr">
        <is>
          <t>CALCULATED</t>
        </is>
      </c>
      <c r="G12" t="inlineStr">
        <is>
          <t>D_G≺Spec(D_G)</t>
        </is>
      </c>
    </row>
    <row r="13">
      <c r="A13" t="n">
        <v>8</v>
      </c>
      <c r="B13" t="inlineStr">
        <is>
          <t>Π</t>
        </is>
      </c>
      <c r="C13" t="inlineStr">
        <is>
          <t>≺</t>
        </is>
      </c>
      <c r="D13" t="inlineStr">
        <is>
          <t>Spec(L)</t>
        </is>
      </c>
      <c r="E13" t="inlineStr">
        <is>
          <t>persistent sector</t>
        </is>
      </c>
      <c r="F13" t="inlineStr">
        <is>
          <t>DERIVED</t>
        </is>
      </c>
      <c r="G13" t="inlineStr">
        <is>
          <t>Spec(L)≺Π</t>
        </is>
      </c>
    </row>
    <row r="14">
      <c r="A14" t="n">
        <v>9</v>
      </c>
      <c r="B14" t="inlineStr">
        <is>
          <t>d</t>
        </is>
      </c>
      <c r="C14" t="inlineStr">
        <is>
          <t>≺</t>
        </is>
      </c>
      <c r="D14" t="inlineStr">
        <is>
          <t>Π</t>
        </is>
      </c>
      <c r="E14" t="inlineStr">
        <is>
          <t>relational distance</t>
        </is>
      </c>
      <c r="F14" t="inlineStr">
        <is>
          <t>DERIVED</t>
        </is>
      </c>
      <c r="G14" t="inlineStr">
        <is>
          <t>Π≺d</t>
        </is>
      </c>
    </row>
    <row r="15">
      <c r="A15" t="n">
        <v>10</v>
      </c>
      <c r="B15" t="inlineStr">
        <is>
          <t>g</t>
        </is>
      </c>
      <c r="C15" t="inlineStr">
        <is>
          <t>≺</t>
        </is>
      </c>
      <c r="D15" t="inlineStr">
        <is>
          <t>d</t>
        </is>
      </c>
      <c r="E15" t="inlineStr">
        <is>
          <t>metric</t>
        </is>
      </c>
      <c r="F15" t="inlineStr">
        <is>
          <t>DERIVED</t>
        </is>
      </c>
      <c r="G15" t="inlineStr">
        <is>
          <t>d≺g</t>
        </is>
      </c>
    </row>
    <row r="16">
      <c r="A16" t="n">
        <v>11</v>
      </c>
      <c r="B16" t="inlineStr">
        <is>
          <t>∇</t>
        </is>
      </c>
      <c r="C16" t="inlineStr">
        <is>
          <t>≺</t>
        </is>
      </c>
      <c r="D16" t="inlineStr">
        <is>
          <t>g</t>
        </is>
      </c>
      <c r="E16" t="inlineStr">
        <is>
          <t>connection</t>
        </is>
      </c>
      <c r="F16" t="inlineStr">
        <is>
          <t>DERIVED</t>
        </is>
      </c>
      <c r="G16" t="inlineStr">
        <is>
          <t>g≺∇</t>
        </is>
      </c>
    </row>
    <row r="17">
      <c r="A17" t="n">
        <v>12</v>
      </c>
      <c r="B17" t="inlineStr">
        <is>
          <t>R</t>
        </is>
      </c>
      <c r="C17" t="inlineStr">
        <is>
          <t>≺</t>
        </is>
      </c>
      <c r="D17" t="inlineStr">
        <is>
          <t>∇</t>
        </is>
      </c>
      <c r="E17" t="inlineStr">
        <is>
          <t>curvature</t>
        </is>
      </c>
      <c r="F17" t="inlineStr">
        <is>
          <t>DERIVED</t>
        </is>
      </c>
      <c r="G17" t="inlineStr">
        <is>
          <t>∇≺R</t>
        </is>
      </c>
    </row>
    <row r="18">
      <c r="A18" t="n">
        <v>13</v>
      </c>
      <c r="B18" t="inlineStr">
        <is>
          <t>G_{μν}</t>
        </is>
      </c>
      <c r="C18" t="inlineStr">
        <is>
          <t>≺</t>
        </is>
      </c>
      <c r="D18" t="inlineStr">
        <is>
          <t>R,g</t>
        </is>
      </c>
      <c r="E18" t="inlineStr">
        <is>
          <t>field tensor</t>
        </is>
      </c>
      <c r="F18" t="inlineStr">
        <is>
          <t>DERIVED</t>
        </is>
      </c>
      <c r="G18" t="inlineStr">
        <is>
          <t>R≺G_{μν}</t>
        </is>
      </c>
    </row>
    <row r="19">
      <c r="A19" t="n">
        <v>14</v>
      </c>
      <c r="B19" t="inlineStr">
        <is>
          <t>S</t>
        </is>
      </c>
      <c r="C19" t="inlineStr">
        <is>
          <t>≺</t>
        </is>
      </c>
      <c r="D19" t="inlineStr">
        <is>
          <t>state/geometry</t>
        </is>
      </c>
      <c r="E19" t="inlineStr">
        <is>
          <t>variational closure</t>
        </is>
      </c>
      <c r="F19" t="inlineStr">
        <is>
          <t>VERIFIED</t>
        </is>
      </c>
      <c r="G19" t="inlineStr">
        <is>
          <t>geometry≺S</t>
        </is>
      </c>
    </row>
    <row r="20">
      <c r="A20" t="n">
        <v>15</v>
      </c>
      <c r="B20" t="inlineStr">
        <is>
          <t>𝒟</t>
        </is>
      </c>
      <c r="C20" t="inlineStr">
        <is>
          <t>≺</t>
        </is>
      </c>
      <c r="D20" t="inlineStr">
        <is>
          <t>L</t>
        </is>
      </c>
      <c r="E20" t="inlineStr">
        <is>
          <t>quantum operator</t>
        </is>
      </c>
      <c r="F20" t="inlineStr">
        <is>
          <t>DERIVED</t>
        </is>
      </c>
      <c r="G20" t="inlineStr">
        <is>
          <t>L≺𝒟</t>
        </is>
      </c>
    </row>
    <row r="21">
      <c r="A21" t="n">
        <v>16</v>
      </c>
      <c r="B21" t="inlineStr">
        <is>
          <t>(A_F,H_F,J_F,γ_F,D_F)</t>
        </is>
      </c>
      <c r="C21" t="inlineStr">
        <is>
          <t>≺</t>
        </is>
      </c>
      <c r="D21" t="inlineStr">
        <is>
          <t>finite representation</t>
        </is>
      </c>
      <c r="E21" t="inlineStr">
        <is>
          <t>finite spectral triple</t>
        </is>
      </c>
      <c r="F21" t="inlineStr">
        <is>
          <t>DERIVED</t>
        </is>
      </c>
      <c r="G21" t="inlineStr">
        <is>
          <t>representation≺finite NCG</t>
        </is>
      </c>
    </row>
    <row r="22">
      <c r="A22" t="n">
        <v>17</v>
      </c>
      <c r="B22" t="inlineStr">
        <is>
          <t>PD/KO/orientability</t>
        </is>
      </c>
      <c r="C22" t="inlineStr">
        <is>
          <t>≺</t>
        </is>
      </c>
      <c r="D22" t="inlineStr">
        <is>
          <t>finite triple</t>
        </is>
      </c>
      <c r="E22" t="inlineStr">
        <is>
          <t>finite NCG closure</t>
        </is>
      </c>
      <c r="F22" t="inlineStr">
        <is>
          <t>DERIVED</t>
        </is>
      </c>
      <c r="G22" t="inlineStr">
        <is>
          <t>finite triple≺closure</t>
        </is>
      </c>
    </row>
    <row r="23">
      <c r="A23" t="n">
        <v>18</v>
      </c>
      <c r="B23" t="inlineStr">
        <is>
          <t>G_SM</t>
        </is>
      </c>
      <c r="C23" t="inlineStr">
        <is>
          <t>≺</t>
        </is>
      </c>
      <c r="D23" t="inlineStr">
        <is>
          <t>finite representation</t>
        </is>
      </c>
      <c r="E23" t="inlineStr">
        <is>
          <t>gauge group</t>
        </is>
      </c>
      <c r="F23" t="inlineStr">
        <is>
          <t>VERIFIED</t>
        </is>
      </c>
      <c r="G23" t="inlineStr">
        <is>
          <t>finite representation≺G_SM</t>
        </is>
      </c>
    </row>
    <row r="24">
      <c r="A24" t="n">
        <v>19</v>
      </c>
      <c r="B24" t="inlineStr">
        <is>
          <t>Y_f</t>
        </is>
      </c>
      <c r="C24" t="inlineStr">
        <is>
          <t>≺</t>
        </is>
      </c>
      <c r="D24" t="inlineStr">
        <is>
          <t>D_F</t>
        </is>
      </c>
      <c r="E24" t="inlineStr">
        <is>
          <t>matter</t>
        </is>
      </c>
      <c r="F24" t="inlineStr">
        <is>
          <t>DERIVED</t>
        </is>
      </c>
      <c r="G24" t="inlineStr">
        <is>
          <t>D_F≺Y_f</t>
        </is>
      </c>
    </row>
    <row r="25">
      <c r="A25" t="n">
        <v>20</v>
      </c>
      <c r="B25" t="inlineStr">
        <is>
          <t>CKM/PMNS</t>
        </is>
      </c>
      <c r="C25" t="inlineStr">
        <is>
          <t>≺</t>
        </is>
      </c>
      <c r="D25" t="inlineStr">
        <is>
          <t>Y_f</t>
        </is>
      </c>
      <c r="E25" t="inlineStr">
        <is>
          <t>flavor</t>
        </is>
      </c>
      <c r="F25" t="inlineStr">
        <is>
          <t>DERIVED</t>
        </is>
      </c>
      <c r="G25" t="inlineStr">
        <is>
          <t>Y_f≺flavor</t>
        </is>
      </c>
    </row>
    <row r="26">
      <c r="A26" t="n">
        <v>21</v>
      </c>
      <c r="B26" t="inlineStr">
        <is>
          <t>Continuum</t>
        </is>
      </c>
      <c r="C26" t="inlineStr">
        <is>
          <t>≺</t>
        </is>
      </c>
      <c r="D26" t="inlineStr">
        <is>
          <t>g,R,G</t>
        </is>
      </c>
      <c r="E26" t="inlineStr">
        <is>
          <t>continuum realization</t>
        </is>
      </c>
      <c r="F26" t="inlineStr">
        <is>
          <t>DERIVED</t>
        </is>
      </c>
      <c r="G26" t="inlineStr">
        <is>
          <t>geometry≺continuum</t>
        </is>
      </c>
    </row>
    <row r="27">
      <c r="A27" t="n">
        <v>22</v>
      </c>
      <c r="B27" t="inlineStr">
        <is>
          <t>YM</t>
        </is>
      </c>
      <c r="C27" t="inlineStr">
        <is>
          <t>≺</t>
        </is>
      </c>
      <c r="D27" t="inlineStr">
        <is>
          <t>gauge representation</t>
        </is>
      </c>
      <c r="E27" t="inlineStr">
        <is>
          <t>gauge dynamics</t>
        </is>
      </c>
      <c r="F27" t="inlineStr">
        <is>
          <t>DERIVED</t>
        </is>
      </c>
      <c r="G27" t="inlineStr">
        <is>
          <t>representation≺YM</t>
        </is>
      </c>
    </row>
    <row r="28">
      <c r="A28" t="n">
        <v>23</v>
      </c>
      <c r="B28" t="inlineStr">
        <is>
          <t>Scale</t>
        </is>
      </c>
      <c r="C28" t="inlineStr">
        <is>
          <t>≺</t>
        </is>
      </c>
      <c r="D28" t="inlineStr">
        <is>
          <t>representation/RG</t>
        </is>
      </c>
      <c r="E28" t="inlineStr">
        <is>
          <t>absolute scale branch</t>
        </is>
      </c>
      <c r="F28" t="inlineStr">
        <is>
          <t>DERIVED</t>
        </is>
      </c>
      <c r="G28" t="inlineStr">
        <is>
          <t>representation≺scale</t>
        </is>
      </c>
    </row>
    <row r="29">
      <c r="A29" t="n">
        <v>24</v>
      </c>
      <c r="B29" t="inlineStr">
        <is>
          <t>ℛ_α</t>
        </is>
      </c>
      <c r="C29" t="inlineStr">
        <is>
          <t>≺</t>
        </is>
      </c>
      <c r="D29" t="inlineStr">
        <is>
          <t>Γ,UOC</t>
        </is>
      </c>
      <c r="E29" t="inlineStr">
        <is>
          <t>domain translation</t>
        </is>
      </c>
      <c r="F29" t="inlineStr">
        <is>
          <t>DERIVED</t>
        </is>
      </c>
      <c r="G29"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tabColor rgb="002B7A78"/>
    <outlinePr summaryBelow="1" summaryRight="1"/>
    <pageSetUpPr/>
  </sheetPr>
  <dimension ref="A1:G13"/>
  <sheetViews>
    <sheetView showGridLines="0" zoomScale="85" workbookViewId="0">
      <pane ySplit="3" topLeftCell="A4" activePane="bottomLeft" state="frozen"/>
      <selection pane="bottomLeft" activeCell="A1" sqref="A1"/>
    </sheetView>
  </sheetViews>
  <sheetFormatPr baseColWidth="8" defaultRowHeight="15"/>
  <cols>
    <col width="30" customWidth="1" min="1" max="1"/>
    <col width="48" customWidth="1" min="2" max="2"/>
    <col width="34" customWidth="1" min="3" max="3"/>
    <col width="40" customWidth="1" min="4" max="4"/>
    <col width="34" customWidth="1" min="5" max="5"/>
    <col width="34" customWidth="1" min="6" max="6"/>
    <col width="56" customWidth="1" min="7" max="7"/>
  </cols>
  <sheetData>
    <row r="1" ht="32" customHeight="1">
      <c r="A1" s="1" t="inlineStr">
        <is>
          <t>SOURCE MATRIX INDEX</t>
        </is>
      </c>
    </row>
    <row r="2" ht="34" customHeight="1">
      <c r="A2" s="12" t="inlineStr">
        <is>
          <t>The prior matrices pulled from the project File Library and incorporated into the unification workbook.</t>
        </is>
      </c>
    </row>
    <row r="5" ht="30" customHeight="1">
      <c r="A5" s="11" t="inlineStr">
        <is>
          <t>Source</t>
        </is>
      </c>
      <c r="B5" s="11" t="inlineStr">
        <is>
          <t>Matrix / sheet</t>
        </is>
      </c>
      <c r="C5" s="11" t="inlineStr">
        <is>
          <t>Primary content pulled</t>
        </is>
      </c>
      <c r="D5" s="11" t="inlineStr">
        <is>
          <t>Use in unification</t>
        </is>
      </c>
      <c r="E5" s="11" t="inlineStr">
        <is>
          <t>Active contribution</t>
        </is>
      </c>
      <c r="F5" s="11" t="inlineStr">
        <is>
          <t>Historical contribution</t>
        </is>
      </c>
      <c r="G5" s="11" t="inlineStr">
        <is>
          <t>Citation</t>
        </is>
      </c>
    </row>
    <row r="6">
      <c r="A6" t="inlineStr">
        <is>
          <t>Universal Derivation Protocol.docx</t>
        </is>
      </c>
      <c r="B6" t="inlineStr">
        <is>
          <t>Universal Rosetta Matrix</t>
        </is>
      </c>
      <c r="C6" t="inlineStr">
        <is>
          <t>DTC typing + GR/QM/QFT/thermo/neuroscience/macroeconomics mappings</t>
        </is>
      </c>
      <c r="D6" t="inlineStr">
        <is>
          <t>23 DTC Rosetta Matrix</t>
        </is>
      </c>
      <c r="E6" t="inlineStr">
        <is>
          <t>Core cross-domain translation</t>
        </is>
      </c>
      <c r="F6" t="inlineStr">
        <is>
          <t>Original five-domain formulation</t>
        </is>
      </c>
      <c r="G6" t="inlineStr">
        <is>
          <t>fileciteturn15file0</t>
        </is>
      </c>
    </row>
    <row r="7">
      <c r="A7" t="inlineStr">
        <is>
          <t>UOC_SEIT_Combined_Master_Matrix.xlsx</t>
        </is>
      </c>
      <c r="B7" t="inlineStr">
        <is>
          <t>Master Matrix</t>
        </is>
      </c>
      <c r="C7" t="inlineStr">
        <is>
          <t>ARC-001 onward; DTC, dependency cascade, compiler phases</t>
        </is>
      </c>
      <c r="D7" t="inlineStr">
        <is>
          <t>25 MDCL Architecture + archive</t>
        </is>
      </c>
      <c r="E7" t="inlineStr">
        <is>
          <t>MDCL dependency architecture</t>
        </is>
      </c>
      <c r="F7" t="inlineStr">
        <is>
          <t>Prior phase matrix</t>
        </is>
      </c>
      <c r="G7" t="inlineStr">
        <is>
          <t>fileciteturn14file1</t>
        </is>
      </c>
    </row>
    <row r="8">
      <c r="A8" t="inlineStr">
        <is>
          <t>UOC_ToE_Canonical_Master_Variant_Bridge_Execution_v4.0_NX001G_Updated.xlsx</t>
        </is>
      </c>
      <c r="B8" t="inlineStr">
        <is>
          <t>SEIT_Master_Matrix</t>
        </is>
      </c>
      <c r="C8" t="inlineStr">
        <is>
          <t>ARC-001–012, compiler evolution, graph refinement</t>
        </is>
      </c>
      <c r="D8" t="inlineStr">
        <is>
          <t>25 MDCL Architecture</t>
        </is>
      </c>
      <c r="E8" t="inlineStr">
        <is>
          <t>Foundation / graph architecture</t>
        </is>
      </c>
      <c r="F8" t="inlineStr">
        <is>
          <t>Historical statuses</t>
        </is>
      </c>
      <c r="G8" t="inlineStr">
        <is>
          <t>fileciteturn14file0</t>
        </is>
      </c>
    </row>
    <row r="9">
      <c r="A9" t="inlineStr">
        <is>
          <t>UOC_ToE_Canonical_Synchronization_Master_v3.0.xlsx</t>
        </is>
      </c>
      <c r="B9" t="inlineStr">
        <is>
          <t>SEIT_Master_Matrix</t>
        </is>
      </c>
      <c r="C9" t="inlineStr">
        <is>
          <t>ARC-041–052, MDCL v1, recovery branches</t>
        </is>
      </c>
      <c r="D9" t="inlineStr">
        <is>
          <t>26 Recovery + archive</t>
        </is>
      </c>
      <c r="E9" t="inlineStr">
        <is>
          <t>Recovery-chain provenance</t>
        </is>
      </c>
      <c r="F9" t="inlineStr">
        <is>
          <t>Alternative/historical branches</t>
        </is>
      </c>
      <c r="G9" t="inlineStr">
        <is>
          <t>fileciteturn14file2</t>
        </is>
      </c>
    </row>
    <row r="10">
      <c r="A10" t="inlineStr">
        <is>
          <t>UOC_ToE_Canonical_Theory_of_Everything_Master_v1.0.xlsx</t>
        </is>
      </c>
      <c r="B10" t="inlineStr">
        <is>
          <t>Master Matrix snapshots</t>
        </is>
      </c>
      <c r="C10" t="inlineStr">
        <is>
          <t>ARC-028–042, ARC-060 onward</t>
        </is>
      </c>
      <c r="D10" t="inlineStr">
        <is>
          <t>24 UMCC + 29 archive</t>
        </is>
      </c>
      <c r="E10" t="inlineStr">
        <is>
          <t>Selected grammar/algebra concepts where still admissible</t>
        </is>
      </c>
      <c r="F10" t="inlineStr">
        <is>
          <t>Open/conjectural routes archived</t>
        </is>
      </c>
      <c r="G10" t="inlineStr">
        <is>
          <t>fileciteturn13file2turn13file3</t>
        </is>
      </c>
    </row>
    <row r="11">
      <c r="A11" t="inlineStr">
        <is>
          <t>UOC_ToE_Master_Dependency_DAG_Closure_v1.0.xlsx</t>
        </is>
      </c>
      <c r="B11" t="inlineStr">
        <is>
          <t>SEIT_Master_Matrix</t>
        </is>
      </c>
      <c r="C11" t="inlineStr">
        <is>
          <t>Dependency cascade and closure architecture</t>
        </is>
      </c>
      <c r="D11" t="inlineStr">
        <is>
          <t>25 MDCL Architecture</t>
        </is>
      </c>
      <c r="E11" t="inlineStr">
        <is>
          <t>DAG governance</t>
        </is>
      </c>
      <c r="F11" t="inlineStr">
        <is>
          <t>Historical open nodes archived</t>
        </is>
      </c>
      <c r="G11" t="inlineStr">
        <is>
          <t>fileciteturn15file15</t>
        </is>
      </c>
    </row>
    <row r="12">
      <c r="A12" t="inlineStr">
        <is>
          <t>UCR UCCP UCA v1.docx</t>
        </is>
      </c>
      <c r="B12" t="inlineStr">
        <is>
          <t>UCCP / UCA</t>
        </is>
      </c>
      <c r="C12" t="inlineStr">
        <is>
          <t>T/K/P/S types, dependency hierarchy, six-tuple constant nodes</t>
        </is>
      </c>
      <c r="D12" t="inlineStr">
        <is>
          <t>28 Constant Unification Matrix</t>
        </is>
      </c>
      <c r="E12" t="inlineStr">
        <is>
          <t>Constant typing and dependency model</t>
        </is>
      </c>
      <c r="F12" t="inlineStr">
        <is>
          <t>Original constant atlas</t>
        </is>
      </c>
      <c r="G12" t="inlineStr">
        <is>
          <t>fileciteturn15file5</t>
        </is>
      </c>
    </row>
    <row r="13">
      <c r="A13" t="inlineStr">
        <is>
          <t>UOC_ToE_Canonical_Individual_Bridge_Calculation_Closure_v3.0.xlsx</t>
        </is>
      </c>
      <c r="B13" t="inlineStr">
        <is>
          <t>Master Equation Matrix</t>
        </is>
      </c>
      <c r="C13" t="inlineStr">
        <is>
          <t>Equation-source registry incl. geometry/variational equations</t>
        </is>
      </c>
      <c r="D13" t="inlineStr">
        <is>
          <t>12 Equation Registry / 26 Recovery</t>
        </is>
      </c>
      <c r="E13" t="inlineStr">
        <is>
          <t>Equation provenance</t>
        </is>
      </c>
      <c r="F13" t="inlineStr">
        <is>
          <t>Source-registered equation catalog</t>
        </is>
      </c>
      <c r="G13" t="inlineStr">
        <is>
          <t>fileciteturn13file9</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tabColor rgb="0017233C"/>
    <outlinePr summaryBelow="1" summaryRight="1"/>
    <pageSetUpPr/>
  </sheetPr>
  <dimension ref="A1:J179"/>
  <sheetViews>
    <sheetView showGridLines="0" zoomScale="85" workbookViewId="0">
      <pane ySplit="5" topLeftCell="A6" activePane="bottomLeft" state="frozen"/>
      <selection pane="bottomLeft" activeCell="A1" sqref="A1"/>
    </sheetView>
  </sheetViews>
  <sheetFormatPr baseColWidth="8" defaultRowHeight="15"/>
  <cols>
    <col width="10" customWidth="1" min="1" max="1"/>
    <col width="12" customWidth="1" min="2" max="2"/>
    <col width="28" customWidth="1" min="3" max="3"/>
    <col width="12" customWidth="1" min="4" max="4"/>
    <col width="62" customWidth="1" min="5" max="5"/>
    <col width="38" customWidth="1" min="6" max="6"/>
    <col width="28" customWidth="1" min="7" max="7"/>
    <col width="18" customWidth="1" min="8" max="8"/>
    <col width="30" customWidth="1" min="9" max="9"/>
    <col width="34" customWidth="1" min="10" max="10"/>
  </cols>
  <sheetData>
    <row r="1" ht="32" customHeight="1">
      <c r="A1" s="13" t="inlineStr">
        <is>
          <t>MASTER EQUATION MATRIX — 174</t>
        </is>
      </c>
    </row>
    <row r="2" ht="38" customHeight="1">
      <c r="A2" s="12" t="inlineStr">
        <is>
          <t>Complete equation-ID corpus. Formula provenance is explicit: no unretrieved formula is silently invented.</t>
        </is>
      </c>
    </row>
    <row r="5">
      <c r="A5" s="14" t="inlineStr">
        <is>
          <t>ID</t>
        </is>
      </c>
      <c r="B5" s="14" t="inlineStr">
        <is>
          <t>Section</t>
        </is>
      </c>
      <c r="C5" s="14" t="inlineStr">
        <is>
          <t>Section name</t>
        </is>
      </c>
      <c r="D5" s="14" t="inlineStr">
        <is>
          <t>Local</t>
        </is>
      </c>
      <c r="E5" s="14" t="inlineStr">
        <is>
          <t>Equation</t>
        </is>
      </c>
      <c r="F5" s="14" t="inlineStr">
        <is>
          <t>Meaning</t>
        </is>
      </c>
      <c r="G5" s="14" t="inlineStr">
        <is>
          <t>Source state</t>
        </is>
      </c>
      <c r="H5" s="14" t="inlineStr">
        <is>
          <t>Layer</t>
        </is>
      </c>
      <c r="I5" s="14" t="inlineStr">
        <is>
          <t>Status</t>
        </is>
      </c>
      <c r="J5" s="14" t="inlineStr">
        <is>
          <t>Formula provenance</t>
        </is>
      </c>
    </row>
    <row r="6">
      <c r="A6" s="15" t="inlineStr">
        <is>
          <t>EQ-001</t>
        </is>
      </c>
      <c r="B6" s="15" t="inlineStr">
        <is>
          <t>NCG</t>
        </is>
      </c>
      <c r="C6" s="15" t="inlineStr">
        <is>
          <t>NCG</t>
        </is>
      </c>
      <c r="D6" s="15" t="n">
        <v>1</v>
      </c>
      <c r="E6" s="15" t="inlineStr">
        <is>
          <t>(A, H, D)</t>
        </is>
      </c>
      <c r="F6" s="15" t="inlineStr"/>
      <c r="G6" s="15" t="inlineStr">
        <is>
          <t>SOURCE-CODED</t>
        </is>
      </c>
      <c r="H6" s="15" t="inlineStr">
        <is>
          <t>C5</t>
        </is>
      </c>
      <c r="I6" s="15" t="inlineStr">
        <is>
          <t>SOURCE-REGISTERED</t>
        </is>
      </c>
      <c r="J6" s="15" t="inlineStr">
        <is>
          <t>Exact source text where recovered; otherwise registry-only placeholder.</t>
        </is>
      </c>
    </row>
    <row r="7">
      <c r="A7" s="15" t="inlineStr">
        <is>
          <t>EQ-002</t>
        </is>
      </c>
      <c r="B7" s="15" t="inlineStr">
        <is>
          <t>NCG</t>
        </is>
      </c>
      <c r="C7" s="15" t="inlineStr">
        <is>
          <t>NCG</t>
        </is>
      </c>
      <c r="D7" s="15" t="n">
        <v>2</v>
      </c>
      <c r="E7" s="15" t="inlineStr">
        <is>
          <t>S = Tr(f(D/Λ)) + &lt;ψ,Dψ&gt;</t>
        </is>
      </c>
      <c r="F7" s="15" t="inlineStr"/>
      <c r="G7" s="15" t="inlineStr">
        <is>
          <t>SOURCE-CODED</t>
        </is>
      </c>
      <c r="H7" s="15" t="inlineStr">
        <is>
          <t>C5</t>
        </is>
      </c>
      <c r="I7" s="15" t="inlineStr">
        <is>
          <t>SOURCE-REGISTERED</t>
        </is>
      </c>
      <c r="J7" s="15" t="inlineStr">
        <is>
          <t>Exact source text where recovered; otherwise registry-only placeholder.</t>
        </is>
      </c>
    </row>
    <row r="8">
      <c r="A8" s="15" t="inlineStr">
        <is>
          <t>EQ-003</t>
        </is>
      </c>
      <c r="B8" s="15" t="inlineStr">
        <is>
          <t>NCG</t>
        </is>
      </c>
      <c r="C8" s="15" t="inlineStr">
        <is>
          <t>NCG</t>
        </is>
      </c>
      <c r="D8" s="15" t="n">
        <v>3</v>
      </c>
      <c r="E8" s="15" t="inlineStr">
        <is>
          <t>D² = ∇*∇ + (1/4)R</t>
        </is>
      </c>
      <c r="F8" s="15" t="inlineStr"/>
      <c r="G8" s="15" t="inlineStr">
        <is>
          <t>SOURCE-CODED</t>
        </is>
      </c>
      <c r="H8" s="15" t="inlineStr">
        <is>
          <t>C5</t>
        </is>
      </c>
      <c r="I8" s="15" t="inlineStr">
        <is>
          <t>SOURCE-REGISTERED</t>
        </is>
      </c>
      <c r="J8" s="15" t="inlineStr">
        <is>
          <t>Exact source text where recovered; otherwise registry-only placeholder.</t>
        </is>
      </c>
    </row>
    <row r="9">
      <c r="A9" s="15" t="inlineStr">
        <is>
          <t>EQ-004</t>
        </is>
      </c>
      <c r="B9" s="15" t="inlineStr">
        <is>
          <t>NCG</t>
        </is>
      </c>
      <c r="C9" s="15" t="inlineStr">
        <is>
          <t>NCG</t>
        </is>
      </c>
      <c r="D9" s="15" t="n">
        <v>4</v>
      </c>
      <c r="E9" s="15" t="inlineStr">
        <is>
          <t>Spec(D) = {λ_i}</t>
        </is>
      </c>
      <c r="F9" s="15" t="inlineStr"/>
      <c r="G9" s="15" t="inlineStr">
        <is>
          <t>SOURCE-CODED</t>
        </is>
      </c>
      <c r="H9" s="15" t="inlineStr">
        <is>
          <t>C5</t>
        </is>
      </c>
      <c r="I9" s="15" t="inlineStr">
        <is>
          <t>SOURCE-REGISTERED</t>
        </is>
      </c>
      <c r="J9" s="15" t="inlineStr">
        <is>
          <t>Exact source text where recovered; otherwise registry-only placeholder.</t>
        </is>
      </c>
    </row>
    <row r="10">
      <c r="A10" s="15" t="inlineStr">
        <is>
          <t>EQ-005</t>
        </is>
      </c>
      <c r="B10" s="15" t="inlineStr">
        <is>
          <t>NCG</t>
        </is>
      </c>
      <c r="C10" s="15" t="inlineStr">
        <is>
          <t>NCG</t>
        </is>
      </c>
      <c r="D10" s="15" t="n">
        <v>5</v>
      </c>
      <c r="E10" s="15" t="inlineStr">
        <is>
          <t>A = C∞(M) × A_F</t>
        </is>
      </c>
      <c r="F10" s="15" t="inlineStr"/>
      <c r="G10" s="15" t="inlineStr">
        <is>
          <t>SOURCE-CODED</t>
        </is>
      </c>
      <c r="H10" s="15" t="inlineStr">
        <is>
          <t>C5</t>
        </is>
      </c>
      <c r="I10" s="15" t="inlineStr">
        <is>
          <t>SOURCE-REGISTERED</t>
        </is>
      </c>
      <c r="J10" s="15" t="inlineStr">
        <is>
          <t>Exact source text where recovered; otherwise registry-only placeholder.</t>
        </is>
      </c>
    </row>
    <row r="11">
      <c r="A11" s="15" t="inlineStr">
        <is>
          <t>EQ-006</t>
        </is>
      </c>
      <c r="B11" s="15" t="inlineStr">
        <is>
          <t>NCG</t>
        </is>
      </c>
      <c r="C11" s="15" t="inlineStr">
        <is>
          <t>NCG</t>
        </is>
      </c>
      <c r="D11" s="15" t="n">
        <v>6</v>
      </c>
      <c r="E11" s="15" t="inlineStr">
        <is>
          <t>H = L²(M,S) × H_F</t>
        </is>
      </c>
      <c r="F11" s="15" t="inlineStr"/>
      <c r="G11" s="15" t="inlineStr">
        <is>
          <t>SOURCE-CODED</t>
        </is>
      </c>
      <c r="H11" s="15" t="inlineStr">
        <is>
          <t>C5</t>
        </is>
      </c>
      <c r="I11" s="15" t="inlineStr">
        <is>
          <t>SOURCE-REGISTERED</t>
        </is>
      </c>
      <c r="J11" s="15" t="inlineStr">
        <is>
          <t>Exact source text where recovered; otherwise registry-only placeholder.</t>
        </is>
      </c>
    </row>
    <row r="12">
      <c r="A12" s="15" t="inlineStr">
        <is>
          <t>EQ-007</t>
        </is>
      </c>
      <c r="B12" s="15" t="inlineStr">
        <is>
          <t>NCG</t>
        </is>
      </c>
      <c r="C12" s="15" t="inlineStr">
        <is>
          <t>NCG</t>
        </is>
      </c>
      <c r="D12" s="15" t="n">
        <v>7</v>
      </c>
      <c r="E12" s="15" t="inlineStr">
        <is>
          <t>D = D_M × 1 + γ⁵ × D_F</t>
        </is>
      </c>
      <c r="F12" s="15" t="inlineStr"/>
      <c r="G12" s="15" t="inlineStr">
        <is>
          <t>SOURCE-CODED</t>
        </is>
      </c>
      <c r="H12" s="15" t="inlineStr">
        <is>
          <t>C5</t>
        </is>
      </c>
      <c r="I12" s="15" t="inlineStr">
        <is>
          <t>SOURCE-REGISTERED</t>
        </is>
      </c>
      <c r="J12" s="15" t="inlineStr">
        <is>
          <t>Exact source text where recovered; otherwise registry-only placeholder.</t>
        </is>
      </c>
    </row>
    <row r="13">
      <c r="A13" s="15" t="inlineStr">
        <is>
          <t>EQ-008</t>
        </is>
      </c>
      <c r="B13" s="15" t="inlineStr">
        <is>
          <t>NCG</t>
        </is>
      </c>
      <c r="C13" s="15" t="inlineStr">
        <is>
          <t>NCG</t>
        </is>
      </c>
      <c r="D13" s="15" t="n">
        <v>8</v>
      </c>
      <c r="E13" s="15" t="inlineStr">
        <is>
          <t>D_A = D + A + JAJ⁻¹</t>
        </is>
      </c>
      <c r="F13" s="15" t="inlineStr"/>
      <c r="G13" s="15" t="inlineStr">
        <is>
          <t>SOURCE-CODED</t>
        </is>
      </c>
      <c r="H13" s="15" t="inlineStr">
        <is>
          <t>C5</t>
        </is>
      </c>
      <c r="I13" s="15" t="inlineStr">
        <is>
          <t>SOURCE-REGISTERED</t>
        </is>
      </c>
      <c r="J13" s="15" t="inlineStr">
        <is>
          <t>Exact source text where recovered; otherwise registry-only placeholder.</t>
        </is>
      </c>
    </row>
    <row r="14">
      <c r="A14" s="15" t="inlineStr">
        <is>
          <t>EQ-009</t>
        </is>
      </c>
      <c r="B14" s="15" t="inlineStr">
        <is>
          <t>NCG</t>
        </is>
      </c>
      <c r="C14" s="15" t="inlineStr">
        <is>
          <t>NCG</t>
        </is>
      </c>
      <c r="D14" s="15" t="n">
        <v>9</v>
      </c>
      <c r="E14" s="15" t="inlineStr">
        <is>
          <t>A = Σ_i a_i[D,b_i]</t>
        </is>
      </c>
      <c r="F14" s="15" t="inlineStr"/>
      <c r="G14" s="15" t="inlineStr">
        <is>
          <t>SOURCE-CODED</t>
        </is>
      </c>
      <c r="H14" s="15" t="inlineStr">
        <is>
          <t>C5</t>
        </is>
      </c>
      <c r="I14" s="15" t="inlineStr">
        <is>
          <t>SOURCE-REGISTERED</t>
        </is>
      </c>
      <c r="J14" s="15" t="inlineStr">
        <is>
          <t>Exact source text where recovered; otherwise registry-only placeholder.</t>
        </is>
      </c>
    </row>
    <row r="15">
      <c r="A15" s="15" t="inlineStr">
        <is>
          <t>EQ-010</t>
        </is>
      </c>
      <c r="B15" s="15" t="inlineStr">
        <is>
          <t>NCG</t>
        </is>
      </c>
      <c r="C15" s="15" t="inlineStr">
        <is>
          <t>NCG</t>
        </is>
      </c>
      <c r="D15" s="15" t="n">
        <v>10</v>
      </c>
      <c r="E15" s="15" t="inlineStr">
        <is>
          <t>S_B = Tr(f(D_A/Λ))</t>
        </is>
      </c>
      <c r="F15" s="15" t="inlineStr"/>
      <c r="G15" s="15" t="inlineStr">
        <is>
          <t>SOURCE-CODED</t>
        </is>
      </c>
      <c r="H15" s="15" t="inlineStr">
        <is>
          <t>C5</t>
        </is>
      </c>
      <c r="I15" s="15" t="inlineStr">
        <is>
          <t>SOURCE-REGISTERED</t>
        </is>
      </c>
      <c r="J15" s="15" t="inlineStr">
        <is>
          <t>Exact source text where recovered; otherwise registry-only placeholder.</t>
        </is>
      </c>
    </row>
    <row r="16">
      <c r="A16" s="15" t="inlineStr">
        <is>
          <t>EQ-011</t>
        </is>
      </c>
      <c r="B16" s="15" t="inlineStr">
        <is>
          <t>NCG</t>
        </is>
      </c>
      <c r="C16" s="15" t="inlineStr">
        <is>
          <t>NCG</t>
        </is>
      </c>
      <c r="D16" s="15" t="n">
        <v>11</v>
      </c>
      <c r="E16" s="15" t="inlineStr">
        <is>
          <t>S_F = &lt;Jψ,D_Aψ&gt;</t>
        </is>
      </c>
      <c r="F16" s="15" t="inlineStr"/>
      <c r="G16" s="15" t="inlineStr">
        <is>
          <t>SOURCE-CODED</t>
        </is>
      </c>
      <c r="H16" s="15" t="inlineStr">
        <is>
          <t>C5</t>
        </is>
      </c>
      <c r="I16" s="15" t="inlineStr">
        <is>
          <t>SOURCE-REGISTERED</t>
        </is>
      </c>
      <c r="J16" s="15" t="inlineStr">
        <is>
          <t>Exact source text where recovered; otherwise registry-only placeholder.</t>
        </is>
      </c>
    </row>
    <row r="17">
      <c r="A17" s="15" t="inlineStr">
        <is>
          <t>EQ-012</t>
        </is>
      </c>
      <c r="B17" s="15" t="inlineStr">
        <is>
          <t>NCG</t>
        </is>
      </c>
      <c r="C17" s="15" t="inlineStr">
        <is>
          <t>NCG</t>
        </is>
      </c>
      <c r="D17" s="15" t="n">
        <v>12</v>
      </c>
      <c r="E17" s="15" t="inlineStr">
        <is>
          <t>S = S_B + S_F</t>
        </is>
      </c>
      <c r="F17" s="15" t="inlineStr"/>
      <c r="G17" s="15" t="inlineStr">
        <is>
          <t>SOURCE-CODED</t>
        </is>
      </c>
      <c r="H17" s="15" t="inlineStr">
        <is>
          <t>C5</t>
        </is>
      </c>
      <c r="I17" s="15" t="inlineStr">
        <is>
          <t>SOURCE-REGISTERED</t>
        </is>
      </c>
      <c r="J17" s="15" t="inlineStr">
        <is>
          <t>Exact source text where recovered; otherwise registry-only placeholder.</t>
        </is>
      </c>
    </row>
    <row r="18">
      <c r="A18" s="15" t="inlineStr">
        <is>
          <t>EQ-013</t>
        </is>
      </c>
      <c r="B18" s="15" t="inlineStr">
        <is>
          <t>NCG</t>
        </is>
      </c>
      <c r="C18" s="15" t="inlineStr">
        <is>
          <t>NCG</t>
        </is>
      </c>
      <c r="D18" s="15" t="n">
        <v>13</v>
      </c>
      <c r="E18" s="15" t="inlineStr">
        <is>
          <t>Tr(f(D/Λ)) ~ Σ_{n≥0} f_n Λ^{4-n} a_n(D²)</t>
        </is>
      </c>
      <c r="F18" s="15" t="inlineStr"/>
      <c r="G18" s="15" t="inlineStr">
        <is>
          <t>SOURCE-CODED</t>
        </is>
      </c>
      <c r="H18" s="15" t="inlineStr">
        <is>
          <t>C5</t>
        </is>
      </c>
      <c r="I18" s="15" t="inlineStr">
        <is>
          <t>SOURCE-REGISTERED</t>
        </is>
      </c>
      <c r="J18" s="15" t="inlineStr">
        <is>
          <t>Exact source text where recovered; otherwise registry-only placeholder.</t>
        </is>
      </c>
    </row>
    <row r="19">
      <c r="A19" s="15" t="inlineStr">
        <is>
          <t>EQ-014</t>
        </is>
      </c>
      <c r="B19" s="15" t="inlineStr">
        <is>
          <t>NCG</t>
        </is>
      </c>
      <c r="C19" s="15" t="inlineStr">
        <is>
          <t>NCG</t>
        </is>
      </c>
      <c r="D19" s="15" t="n">
        <v>14</v>
      </c>
      <c r="E19" s="15" t="inlineStr">
        <is>
          <t>f_n = ∫_0^∞ f(v)v^{n-1}dv</t>
        </is>
      </c>
      <c r="F19" s="15" t="inlineStr"/>
      <c r="G19" s="15" t="inlineStr">
        <is>
          <t>SOURCE-CODED</t>
        </is>
      </c>
      <c r="H19" s="15" t="inlineStr">
        <is>
          <t>C5</t>
        </is>
      </c>
      <c r="I19" s="15" t="inlineStr">
        <is>
          <t>SOURCE-REGISTERED</t>
        </is>
      </c>
      <c r="J19" s="15" t="inlineStr">
        <is>
          <t>Exact source text where recovered; otherwise registry-only placeholder.</t>
        </is>
      </c>
    </row>
    <row r="20">
      <c r="A20" s="15" t="inlineStr">
        <is>
          <t>EQ-015</t>
        </is>
      </c>
      <c r="B20" s="15" t="inlineStr">
        <is>
          <t>NCG</t>
        </is>
      </c>
      <c r="C20" s="15" t="inlineStr">
        <is>
          <t>NCG</t>
        </is>
      </c>
      <c r="D20" s="15" t="n">
        <v>15</v>
      </c>
      <c r="E20" s="15" t="inlineStr">
        <is>
          <t>a_0,a_2,a_4,a_6,…</t>
        </is>
      </c>
      <c r="F20" s="15" t="inlineStr"/>
      <c r="G20" s="15" t="inlineStr">
        <is>
          <t>SOURCE-CODED</t>
        </is>
      </c>
      <c r="H20" s="15" t="inlineStr">
        <is>
          <t>C5</t>
        </is>
      </c>
      <c r="I20" s="15" t="inlineStr">
        <is>
          <t>SOURCE-REGISTERED</t>
        </is>
      </c>
      <c r="J20" s="15" t="inlineStr">
        <is>
          <t>Exact source text where recovered; otherwise registry-only placeholder.</t>
        </is>
      </c>
    </row>
    <row r="21">
      <c r="A21" s="15" t="inlineStr">
        <is>
          <t>EQ-016</t>
        </is>
      </c>
      <c r="B21" s="15" t="inlineStr">
        <is>
          <t>NCG</t>
        </is>
      </c>
      <c r="C21" s="15" t="inlineStr">
        <is>
          <t>NCG</t>
        </is>
      </c>
      <c r="D21" s="15" t="n">
        <v>16</v>
      </c>
      <c r="E21" s="15" t="inlineStr">
        <is>
          <t>Λ⁴a_0 + Λ²a_2 + a_4 + O(Λ⁻²)</t>
        </is>
      </c>
      <c r="F21" s="15" t="inlineStr"/>
      <c r="G21" s="15" t="inlineStr">
        <is>
          <t>SOURCE-CODED</t>
        </is>
      </c>
      <c r="H21" s="15" t="inlineStr">
        <is>
          <t>C5</t>
        </is>
      </c>
      <c r="I21" s="15" t="inlineStr">
        <is>
          <t>SOURCE-REGISTERED</t>
        </is>
      </c>
      <c r="J21" s="15" t="inlineStr">
        <is>
          <t>Exact source text where recovered; otherwise registry-only placeholder.</t>
        </is>
      </c>
    </row>
    <row r="22">
      <c r="A22" s="15" t="inlineStr">
        <is>
          <t>EQ-017</t>
        </is>
      </c>
      <c r="B22" s="15" t="inlineStr">
        <is>
          <t>NCG</t>
        </is>
      </c>
      <c r="C22" s="15" t="inlineStr">
        <is>
          <t>NCG</t>
        </is>
      </c>
      <c r="D22" s="15" t="n">
        <v>17</v>
      </c>
      <c r="E22" s="15" t="inlineStr">
        <is>
          <t>K(t)=Tr(e^{-tD²})</t>
        </is>
      </c>
      <c r="F22" s="15" t="inlineStr"/>
      <c r="G22" s="15" t="inlineStr">
        <is>
          <t>SOURCE-CODED</t>
        </is>
      </c>
      <c r="H22" s="15" t="inlineStr">
        <is>
          <t>C5</t>
        </is>
      </c>
      <c r="I22" s="15" t="inlineStr">
        <is>
          <t>SOURCE-REGISTERED</t>
        </is>
      </c>
      <c r="J22" s="15" t="inlineStr">
        <is>
          <t>Exact source text where recovered; otherwise registry-only placeholder.</t>
        </is>
      </c>
    </row>
    <row r="23">
      <c r="A23" s="15" t="inlineStr">
        <is>
          <t>EQ-018</t>
        </is>
      </c>
      <c r="B23" s="15" t="inlineStr">
        <is>
          <t>NCG</t>
        </is>
      </c>
      <c r="C23" s="15" t="inlineStr">
        <is>
          <t>NCG</t>
        </is>
      </c>
      <c r="D23" s="15" t="n">
        <v>18</v>
      </c>
      <c r="E23" s="15" t="inlineStr">
        <is>
          <t>ζ_D(s)=Tr(D^{-s})</t>
        </is>
      </c>
      <c r="F23" s="15" t="inlineStr"/>
      <c r="G23" s="15" t="inlineStr">
        <is>
          <t>SOURCE-CODED</t>
        </is>
      </c>
      <c r="H23" s="15" t="inlineStr">
        <is>
          <t>C5</t>
        </is>
      </c>
      <c r="I23" s="15" t="inlineStr">
        <is>
          <t>SOURCE-REGISTERED</t>
        </is>
      </c>
      <c r="J23" s="15" t="inlineStr">
        <is>
          <t>Exact source text where recovered; otherwise registry-only placeholder.</t>
        </is>
      </c>
    </row>
    <row r="24">
      <c r="A24" s="15" t="inlineStr">
        <is>
          <t>EQ-019</t>
        </is>
      </c>
      <c r="B24" s="15" t="inlineStr">
        <is>
          <t>NCG</t>
        </is>
      </c>
      <c r="C24" s="15" t="inlineStr">
        <is>
          <t>NCG</t>
        </is>
      </c>
      <c r="D24" s="15" t="n">
        <v>19</v>
      </c>
      <c r="E24" s="15" t="inlineStr">
        <is>
          <t>S_ζ=ζ_D(0)</t>
        </is>
      </c>
      <c r="F24" s="15" t="inlineStr"/>
      <c r="G24" s="15" t="inlineStr">
        <is>
          <t>SOURCE-CODED</t>
        </is>
      </c>
      <c r="H24" s="15" t="inlineStr">
        <is>
          <t>C5</t>
        </is>
      </c>
      <c r="I24" s="15" t="inlineStr">
        <is>
          <t>SOURCE-REGISTERED</t>
        </is>
      </c>
      <c r="J24" s="15" t="inlineStr">
        <is>
          <t>Exact source text where recovered; otherwise registry-only placeholder.</t>
        </is>
      </c>
    </row>
    <row r="25">
      <c r="A25" s="15" t="inlineStr">
        <is>
          <t>EQ-020</t>
        </is>
      </c>
      <c r="B25" s="15" t="inlineStr">
        <is>
          <t>NCG</t>
        </is>
      </c>
      <c r="C25" s="15" t="inlineStr">
        <is>
          <t>NCG</t>
        </is>
      </c>
      <c r="D25" s="15" t="n">
        <v>20</v>
      </c>
      <c r="E25" s="15" t="inlineStr">
        <is>
          <t>Index(D)=dim kerD−dim kerD†</t>
        </is>
      </c>
      <c r="F25" s="15" t="inlineStr"/>
      <c r="G25" s="15" t="inlineStr">
        <is>
          <t>SOURCE-CODED</t>
        </is>
      </c>
      <c r="H25" s="15" t="inlineStr">
        <is>
          <t>C5</t>
        </is>
      </c>
      <c r="I25" s="15" t="inlineStr">
        <is>
          <t>SOURCE-REGISTERED</t>
        </is>
      </c>
      <c r="J25" s="15" t="inlineStr">
        <is>
          <t>Exact source text where recovered; otherwise registry-only placeholder.</t>
        </is>
      </c>
    </row>
    <row r="26">
      <c r="A26" s="15" t="inlineStr">
        <is>
          <t>EQ-021</t>
        </is>
      </c>
      <c r="B26" s="15" t="inlineStr">
        <is>
          <t>NCG</t>
        </is>
      </c>
      <c r="C26" s="15" t="inlineStr">
        <is>
          <t>NCG</t>
        </is>
      </c>
      <c r="D26" s="15" t="n">
        <v>21</v>
      </c>
      <c r="E26" s="15" t="inlineStr">
        <is>
          <t>J²=±1</t>
        </is>
      </c>
      <c r="F26" s="15" t="inlineStr"/>
      <c r="G26" s="15" t="inlineStr">
        <is>
          <t>SOURCE-CODED</t>
        </is>
      </c>
      <c r="H26" s="15" t="inlineStr">
        <is>
          <t>C5</t>
        </is>
      </c>
      <c r="I26" s="15" t="inlineStr">
        <is>
          <t>SOURCE-REGISTERED</t>
        </is>
      </c>
      <c r="J26" s="15" t="inlineStr">
        <is>
          <t>Exact source text where recovered; otherwise registry-only placeholder.</t>
        </is>
      </c>
    </row>
    <row r="27">
      <c r="A27" s="15" t="inlineStr">
        <is>
          <t>EQ-022</t>
        </is>
      </c>
      <c r="B27" s="15" t="inlineStr">
        <is>
          <t>NCG</t>
        </is>
      </c>
      <c r="C27" s="15" t="inlineStr">
        <is>
          <t>NCG</t>
        </is>
      </c>
      <c r="D27" s="15" t="n">
        <v>22</v>
      </c>
      <c r="E27" s="15" t="inlineStr">
        <is>
          <t>JD=±DJ</t>
        </is>
      </c>
      <c r="F27" s="15" t="inlineStr"/>
      <c r="G27" s="15" t="inlineStr">
        <is>
          <t>SOURCE-CODED</t>
        </is>
      </c>
      <c r="H27" s="15" t="inlineStr">
        <is>
          <t>C5</t>
        </is>
      </c>
      <c r="I27" s="15" t="inlineStr">
        <is>
          <t>SOURCE-REGISTERED</t>
        </is>
      </c>
      <c r="J27" s="15" t="inlineStr">
        <is>
          <t>Exact source text where recovered; otherwise registry-only placeholder.</t>
        </is>
      </c>
    </row>
    <row r="28">
      <c r="A28" s="15" t="inlineStr">
        <is>
          <t>EQ-023</t>
        </is>
      </c>
      <c r="B28" s="15" t="inlineStr">
        <is>
          <t>NCG</t>
        </is>
      </c>
      <c r="C28" s="15" t="inlineStr">
        <is>
          <t>NCG</t>
        </is>
      </c>
      <c r="D28" s="15" t="n">
        <v>23</v>
      </c>
      <c r="E28" s="15" t="inlineStr">
        <is>
          <t>Jγ=±γJ</t>
        </is>
      </c>
      <c r="F28" s="15" t="inlineStr"/>
      <c r="G28" s="15" t="inlineStr">
        <is>
          <t>SOURCE-CODED</t>
        </is>
      </c>
      <c r="H28" s="15" t="inlineStr">
        <is>
          <t>C5</t>
        </is>
      </c>
      <c r="I28" s="15" t="inlineStr">
        <is>
          <t>SOURCE-REGISTERED</t>
        </is>
      </c>
      <c r="J28" s="15" t="inlineStr">
        <is>
          <t>Exact source text where recovered; otherwise registry-only placeholder.</t>
        </is>
      </c>
    </row>
    <row r="29">
      <c r="A29" s="15" t="inlineStr">
        <is>
          <t>EQ-024</t>
        </is>
      </c>
      <c r="B29" s="15" t="inlineStr">
        <is>
          <t>NCG</t>
        </is>
      </c>
      <c r="C29" s="15" t="inlineStr">
        <is>
          <t>NCG</t>
        </is>
      </c>
      <c r="D29" s="15" t="n">
        <v>24</v>
      </c>
      <c r="E29" s="15" t="inlineStr">
        <is>
          <t>γ²=1</t>
        </is>
      </c>
      <c r="F29" s="15" t="inlineStr"/>
      <c r="G29" s="15" t="inlineStr">
        <is>
          <t>SOURCE-CODED</t>
        </is>
      </c>
      <c r="H29" s="15" t="inlineStr">
        <is>
          <t>C5</t>
        </is>
      </c>
      <c r="I29" s="15" t="inlineStr">
        <is>
          <t>SOURCE-REGISTERED</t>
        </is>
      </c>
      <c r="J29" s="15" t="inlineStr">
        <is>
          <t>Exact source text where recovered; otherwise registry-only placeholder.</t>
        </is>
      </c>
    </row>
    <row r="30">
      <c r="A30" s="15" t="inlineStr">
        <is>
          <t>EQ-025</t>
        </is>
      </c>
      <c r="B30" s="15" t="inlineStr">
        <is>
          <t>NCG</t>
        </is>
      </c>
      <c r="C30" s="15" t="inlineStr">
        <is>
          <t>NCG</t>
        </is>
      </c>
      <c r="D30" s="15" t="n">
        <v>25</v>
      </c>
      <c r="E30" s="15" t="inlineStr">
        <is>
          <t>{γ,D}=0</t>
        </is>
      </c>
      <c r="F30" s="15" t="inlineStr"/>
      <c r="G30" s="15" t="inlineStr">
        <is>
          <t>SOURCE-CODED</t>
        </is>
      </c>
      <c r="H30" s="15" t="inlineStr">
        <is>
          <t>C5</t>
        </is>
      </c>
      <c r="I30" s="15" t="inlineStr">
        <is>
          <t>SOURCE-REGISTERED</t>
        </is>
      </c>
      <c r="J30" s="15" t="inlineStr">
        <is>
          <t>Exact source text where recovered; otherwise registry-only placeholder.</t>
        </is>
      </c>
    </row>
    <row r="31">
      <c r="A31" s="15" t="inlineStr">
        <is>
          <t>EQ-026</t>
        </is>
      </c>
      <c r="B31" s="15" t="inlineStr">
        <is>
          <t>NCG</t>
        </is>
      </c>
      <c r="C31" s="15" t="inlineStr">
        <is>
          <t>NCG</t>
        </is>
      </c>
      <c r="D31" s="15" t="n">
        <v>26</v>
      </c>
      <c r="E31" s="15" t="inlineStr">
        <is>
          <t>A_F=ℂ⊕ℍ⊕M₃(ℂ)</t>
        </is>
      </c>
      <c r="F31" s="15" t="inlineStr"/>
      <c r="G31" s="15" t="inlineStr">
        <is>
          <t>SOURCE-CODED</t>
        </is>
      </c>
      <c r="H31" s="15" t="inlineStr">
        <is>
          <t>C5</t>
        </is>
      </c>
      <c r="I31" s="15" t="inlineStr">
        <is>
          <t>SOURCE-REGISTERED</t>
        </is>
      </c>
      <c r="J31" s="15" t="inlineStr">
        <is>
          <t>Exact source text where recovered; otherwise registry-only placeholder.</t>
        </is>
      </c>
    </row>
    <row r="32">
      <c r="A32" s="15" t="inlineStr">
        <is>
          <t>EQ-027</t>
        </is>
      </c>
      <c r="B32" s="15" t="inlineStr">
        <is>
          <t>NCG</t>
        </is>
      </c>
      <c r="C32" s="15" t="inlineStr">
        <is>
          <t>NCG</t>
        </is>
      </c>
      <c r="D32" s="15" t="n">
        <v>27</v>
      </c>
      <c r="E32" s="15" t="inlineStr">
        <is>
          <t>G=SU(3)×SU(2)×U(1)</t>
        </is>
      </c>
      <c r="F32" s="15" t="inlineStr"/>
      <c r="G32" s="15" t="inlineStr">
        <is>
          <t>SOURCE-CODED</t>
        </is>
      </c>
      <c r="H32" s="15" t="inlineStr">
        <is>
          <t>C5</t>
        </is>
      </c>
      <c r="I32" s="15" t="inlineStr">
        <is>
          <t>SOURCE-REGISTERED</t>
        </is>
      </c>
      <c r="J32" s="15" t="inlineStr">
        <is>
          <t>Exact source text where recovered; otherwise registry-only placeholder.</t>
        </is>
      </c>
    </row>
    <row r="33">
      <c r="A33" s="15" t="inlineStr">
        <is>
          <t>EQ-028</t>
        </is>
      </c>
      <c r="B33" s="15" t="inlineStr">
        <is>
          <t>NCG</t>
        </is>
      </c>
      <c r="C33" s="15" t="inlineStr">
        <is>
          <t>NCG</t>
        </is>
      </c>
      <c r="D33" s="15" t="n">
        <v>28</v>
      </c>
      <c r="E33" s="15" t="inlineStr">
        <is>
          <t>g₁=g₂=g₃</t>
        </is>
      </c>
      <c r="F33" s="15" t="inlineStr"/>
      <c r="G33" s="15" t="inlineStr">
        <is>
          <t>SOURCE-CODED</t>
        </is>
      </c>
      <c r="H33" s="15" t="inlineStr">
        <is>
          <t>C5</t>
        </is>
      </c>
      <c r="I33" s="15" t="inlineStr">
        <is>
          <t>SOURCE-REGISTERED</t>
        </is>
      </c>
      <c r="J33" s="15" t="inlineStr">
        <is>
          <t>Exact source text where recovered; otherwise registry-only placeholder.</t>
        </is>
      </c>
    </row>
    <row r="34">
      <c r="A34" s="15" t="inlineStr">
        <is>
          <t>EQ-029</t>
        </is>
      </c>
      <c r="B34" s="15" t="inlineStr">
        <is>
          <t>NCG</t>
        </is>
      </c>
      <c r="C34" s="15" t="inlineStr">
        <is>
          <t>NCG</t>
        </is>
      </c>
      <c r="D34" s="15" t="n">
        <v>29</v>
      </c>
      <c r="E34" s="15" t="inlineStr">
        <is>
          <t>m_H~125 GeV</t>
        </is>
      </c>
      <c r="F34" s="15" t="inlineStr"/>
      <c r="G34" s="15" t="inlineStr">
        <is>
          <t>SOURCE-CODED</t>
        </is>
      </c>
      <c r="H34" s="15" t="inlineStr">
        <is>
          <t>C5</t>
        </is>
      </c>
      <c r="I34" s="15" t="inlineStr">
        <is>
          <t>SOURCE-REGISTERED</t>
        </is>
      </c>
      <c r="J34" s="15" t="inlineStr">
        <is>
          <t>Exact source text where recovered; otherwise registry-only placeholder.</t>
        </is>
      </c>
    </row>
    <row r="35">
      <c r="A35" s="15" t="inlineStr">
        <is>
          <t>EQ-030</t>
        </is>
      </c>
      <c r="B35" s="15" t="inlineStr">
        <is>
          <t>NCG</t>
        </is>
      </c>
      <c r="C35" s="15" t="inlineStr">
        <is>
          <t>NCG</t>
        </is>
      </c>
      <c r="D35" s="15" t="n">
        <v>30</v>
      </c>
      <c r="E35" s="15" t="inlineStr">
        <is>
          <t>m_ν=m_DᵀM_R⁻¹m_D</t>
        </is>
      </c>
      <c r="F35" s="15" t="inlineStr"/>
      <c r="G35" s="15" t="inlineStr">
        <is>
          <t>SOURCE-CODED</t>
        </is>
      </c>
      <c r="H35" s="15" t="inlineStr">
        <is>
          <t>C5</t>
        </is>
      </c>
      <c r="I35" s="15" t="inlineStr">
        <is>
          <t>SOURCE-REGISTERED</t>
        </is>
      </c>
      <c r="J35" s="15" t="inlineStr">
        <is>
          <t>Exact source text where recovered; otherwise registry-only placeholder.</t>
        </is>
      </c>
    </row>
    <row r="36">
      <c r="A36" s="15" t="inlineStr">
        <is>
          <t>EQ-031</t>
        </is>
      </c>
      <c r="B36" s="15" t="inlineStr">
        <is>
          <t>NCG</t>
        </is>
      </c>
      <c r="C36" s="15" t="inlineStr">
        <is>
          <t>NCG</t>
        </is>
      </c>
      <c r="D36" s="15" t="n">
        <v>31</v>
      </c>
      <c r="E36" s="15" t="inlineStr">
        <is>
          <t>dist(x,y)=sup{|f(x)−f(y)|:||[D,f]||≤1}</t>
        </is>
      </c>
      <c r="F36" s="15" t="inlineStr"/>
      <c r="G36" s="15" t="inlineStr">
        <is>
          <t>SOURCE-CODED</t>
        </is>
      </c>
      <c r="H36" s="15" t="inlineStr">
        <is>
          <t>C5</t>
        </is>
      </c>
      <c r="I36" s="15" t="inlineStr">
        <is>
          <t>SOURCE-REGISTERED</t>
        </is>
      </c>
      <c r="J36" s="15" t="inlineStr">
        <is>
          <t>Exact source text where recovered; otherwise registry-only placeholder.</t>
        </is>
      </c>
    </row>
    <row r="37">
      <c r="A37" s="15" t="inlineStr">
        <is>
          <t>EQ-032</t>
        </is>
      </c>
      <c r="B37" s="15" t="inlineStr">
        <is>
          <t>NCG</t>
        </is>
      </c>
      <c r="C37" s="15" t="inlineStr">
        <is>
          <t>NCG</t>
        </is>
      </c>
      <c r="D37" s="15" t="n">
        <v>32</v>
      </c>
      <c r="E37" s="15" t="inlineStr">
        <is>
          <t>[D,a]</t>
        </is>
      </c>
      <c r="F37" s="15" t="inlineStr"/>
      <c r="G37" s="15" t="inlineStr">
        <is>
          <t>SOURCE-CODED</t>
        </is>
      </c>
      <c r="H37" s="15" t="inlineStr">
        <is>
          <t>C5</t>
        </is>
      </c>
      <c r="I37" s="15" t="inlineStr">
        <is>
          <t>SOURCE-REGISTERED</t>
        </is>
      </c>
      <c r="J37" s="15" t="inlineStr">
        <is>
          <t>Exact source text where recovered; otherwise registry-only placeholder.</t>
        </is>
      </c>
    </row>
    <row r="38">
      <c r="A38" s="15" t="inlineStr">
        <is>
          <t>EQ-033</t>
        </is>
      </c>
      <c r="B38" s="15" t="inlineStr">
        <is>
          <t>NCG</t>
        </is>
      </c>
      <c r="C38" s="15" t="inlineStr">
        <is>
          <t>NCG</t>
        </is>
      </c>
      <c r="D38" s="15" t="n">
        <v>33</v>
      </c>
      <c r="E38" s="15" t="inlineStr">
        <is>
          <t>[[D,a],b]=0</t>
        </is>
      </c>
      <c r="F38" s="15" t="inlineStr"/>
      <c r="G38" s="15" t="inlineStr">
        <is>
          <t>SOURCE-CODED</t>
        </is>
      </c>
      <c r="H38" s="15" t="inlineStr">
        <is>
          <t>C5</t>
        </is>
      </c>
      <c r="I38" s="15" t="inlineStr">
        <is>
          <t>SOURCE-REGISTERED</t>
        </is>
      </c>
      <c r="J38" s="15" t="inlineStr">
        <is>
          <t>Exact source text where recovered; otherwise registry-only placeholder.</t>
        </is>
      </c>
    </row>
    <row r="39">
      <c r="A39" s="15" t="inlineStr">
        <is>
          <t>EQ-034</t>
        </is>
      </c>
      <c r="B39" s="15" t="inlineStr">
        <is>
          <t>NCG</t>
        </is>
      </c>
      <c r="C39" s="15" t="inlineStr">
        <is>
          <t>NCG</t>
        </is>
      </c>
      <c r="D39" s="15" t="n">
        <v>34</v>
      </c>
      <c r="E39" s="15" t="inlineStr">
        <is>
          <t>[D,A]⊂B(H)</t>
        </is>
      </c>
      <c r="F39" s="15" t="inlineStr"/>
      <c r="G39" s="15" t="inlineStr">
        <is>
          <t>SOURCE-CODED</t>
        </is>
      </c>
      <c r="H39" s="15" t="inlineStr">
        <is>
          <t>C5</t>
        </is>
      </c>
      <c r="I39" s="15" t="inlineStr">
        <is>
          <t>SOURCE-REGISTERED</t>
        </is>
      </c>
      <c r="J39" s="15" t="inlineStr">
        <is>
          <t>Exact source text where recovered; otherwise registry-only placeholder.</t>
        </is>
      </c>
    </row>
    <row r="40">
      <c r="A40" s="15" t="inlineStr">
        <is>
          <t>EQ-035</t>
        </is>
      </c>
      <c r="B40" s="15" t="inlineStr">
        <is>
          <t>NCG</t>
        </is>
      </c>
      <c r="C40" s="15" t="inlineStr">
        <is>
          <t>NCG</t>
        </is>
      </c>
      <c r="D40" s="15" t="n">
        <v>35</v>
      </c>
      <c r="E40" s="15" t="inlineStr">
        <is>
          <t>D⁻¹</t>
        </is>
      </c>
      <c r="F40" s="15" t="inlineStr"/>
      <c r="G40" s="15" t="inlineStr">
        <is>
          <t>SOURCE-CODED</t>
        </is>
      </c>
      <c r="H40" s="15" t="inlineStr">
        <is>
          <t>C5</t>
        </is>
      </c>
      <c r="I40" s="15" t="inlineStr">
        <is>
          <t>SOURCE-REGISTERED</t>
        </is>
      </c>
      <c r="J40" s="15" t="inlineStr">
        <is>
          <t>Exact source text where recovered; otherwise registry-only placeholder.</t>
        </is>
      </c>
    </row>
    <row r="41">
      <c r="A41" s="15" t="inlineStr">
        <is>
          <t>EQ-036</t>
        </is>
      </c>
      <c r="B41" s="15" t="inlineStr">
        <is>
          <t>NCG</t>
        </is>
      </c>
      <c r="C41" s="15" t="inlineStr">
        <is>
          <t>NCG</t>
        </is>
      </c>
      <c r="D41" s="15" t="n">
        <v>36</v>
      </c>
      <c r="E41" s="15" t="inlineStr">
        <is>
          <t>χ(D)=Tr(γe^{-tD²})</t>
        </is>
      </c>
      <c r="F41" s="15" t="inlineStr"/>
      <c r="G41" s="15" t="inlineStr">
        <is>
          <t>SOURCE-CODED</t>
        </is>
      </c>
      <c r="H41" s="15" t="inlineStr">
        <is>
          <t>C5</t>
        </is>
      </c>
      <c r="I41" s="15" t="inlineStr">
        <is>
          <t>SOURCE-REGISTERED</t>
        </is>
      </c>
      <c r="J41" s="15" t="inlineStr">
        <is>
          <t>Exact source text where recovered; otherwise registry-only placeholder.</t>
        </is>
      </c>
    </row>
    <row r="42">
      <c r="A42" s="15" t="inlineStr">
        <is>
          <t>EQ-037</t>
        </is>
      </c>
      <c r="B42" s="15" t="inlineStr">
        <is>
          <t>SP</t>
        </is>
      </c>
      <c r="C42" s="15" t="inlineStr">
        <is>
          <t>Spectral Graph</t>
        </is>
      </c>
      <c r="D42" s="15" t="n">
        <v>1</v>
      </c>
      <c r="E42" s="15" t="inlineStr">
        <is>
          <t>G=(V,E)</t>
        </is>
      </c>
      <c r="F42" s="15" t="inlineStr">
        <is>
          <t>Graph definition</t>
        </is>
      </c>
      <c r="G42" s="15" t="inlineStr">
        <is>
          <t>SOURCE-CODED</t>
        </is>
      </c>
      <c r="H42" s="15" t="inlineStr">
        <is>
          <t>C2</t>
        </is>
      </c>
      <c r="I42" s="15" t="inlineStr">
        <is>
          <t>SOURCE-REGISTERED</t>
        </is>
      </c>
      <c r="J42" s="15" t="inlineStr">
        <is>
          <t>Exact source text where recovered; otherwise registry-only placeholder.</t>
        </is>
      </c>
    </row>
    <row r="43">
      <c r="A43" s="15" t="inlineStr">
        <is>
          <t>EQ-038</t>
        </is>
      </c>
      <c r="B43" s="15" t="inlineStr">
        <is>
          <t>SP</t>
        </is>
      </c>
      <c r="C43" s="15" t="inlineStr">
        <is>
          <t>Spectral Graph</t>
        </is>
      </c>
      <c r="D43" s="15" t="n">
        <v>2</v>
      </c>
      <c r="E43" s="15" t="inlineStr">
        <is>
          <t>L=D_deg−A</t>
        </is>
      </c>
      <c r="F43" s="15" t="inlineStr">
        <is>
          <t>Graph Laplacian</t>
        </is>
      </c>
      <c r="G43" s="15" t="inlineStr">
        <is>
          <t>SOURCE-CODED</t>
        </is>
      </c>
      <c r="H43" s="15" t="inlineStr">
        <is>
          <t>C2</t>
        </is>
      </c>
      <c r="I43" s="15" t="inlineStr">
        <is>
          <t>SOURCE-REGISTERED</t>
        </is>
      </c>
      <c r="J43" s="15" t="inlineStr">
        <is>
          <t>Exact source text where recovered; otherwise registry-only placeholder.</t>
        </is>
      </c>
    </row>
    <row r="44">
      <c r="A44" s="15" t="inlineStr">
        <is>
          <t>EQ-039</t>
        </is>
      </c>
      <c r="B44" s="15" t="inlineStr">
        <is>
          <t>SP</t>
        </is>
      </c>
      <c r="C44" s="15" t="inlineStr">
        <is>
          <t>Spectral Graph</t>
        </is>
      </c>
      <c r="D44" s="15" t="n">
        <v>3</v>
      </c>
      <c r="E44" s="15" t="inlineStr">
        <is>
          <t>Lφ=λφ</t>
        </is>
      </c>
      <c r="F44" s="15" t="inlineStr">
        <is>
          <t>Eigenproblem</t>
        </is>
      </c>
      <c r="G44" s="15" t="inlineStr">
        <is>
          <t>SOURCE-CODED</t>
        </is>
      </c>
      <c r="H44" s="15" t="inlineStr">
        <is>
          <t>C2</t>
        </is>
      </c>
      <c r="I44" s="15" t="inlineStr">
        <is>
          <t>SOURCE-REGISTERED</t>
        </is>
      </c>
      <c r="J44" s="15" t="inlineStr">
        <is>
          <t>Exact source text where recovered; otherwise registry-only placeholder.</t>
        </is>
      </c>
    </row>
    <row r="45">
      <c r="A45" s="15" t="inlineStr">
        <is>
          <t>EQ-040</t>
        </is>
      </c>
      <c r="B45" s="15" t="inlineStr">
        <is>
          <t>SP</t>
        </is>
      </c>
      <c r="C45" s="15" t="inlineStr">
        <is>
          <t>Spectral Graph</t>
        </is>
      </c>
      <c r="D45" s="15" t="n">
        <v>4</v>
      </c>
      <c r="E45" s="15" t="inlineStr">
        <is>
          <t>Spec(L)={λ₁,…,λ_n}</t>
        </is>
      </c>
      <c r="F45" s="15" t="inlineStr">
        <is>
          <t>Spectrum</t>
        </is>
      </c>
      <c r="G45" s="15" t="inlineStr">
        <is>
          <t>SOURCE-CODED</t>
        </is>
      </c>
      <c r="H45" s="15" t="inlineStr">
        <is>
          <t>C2</t>
        </is>
      </c>
      <c r="I45" s="15" t="inlineStr">
        <is>
          <t>SOURCE-REGISTERED</t>
        </is>
      </c>
      <c r="J45" s="15" t="inlineStr">
        <is>
          <t>Exact source text where recovered; otherwise registry-only placeholder.</t>
        </is>
      </c>
    </row>
    <row r="46">
      <c r="A46" s="15" t="inlineStr">
        <is>
          <t>EQ-041</t>
        </is>
      </c>
      <c r="B46" s="15" t="inlineStr">
        <is>
          <t>SP</t>
        </is>
      </c>
      <c r="C46" s="15" t="inlineStr">
        <is>
          <t>Spectral Graph</t>
        </is>
      </c>
      <c r="D46" s="15" t="n">
        <v>5</v>
      </c>
      <c r="E46" s="15" t="inlineStr">
        <is>
          <t>λ₀=0</t>
        </is>
      </c>
      <c r="F46" s="15" t="inlineStr">
        <is>
          <t>Ground state</t>
        </is>
      </c>
      <c r="G46" s="15" t="inlineStr">
        <is>
          <t>SOURCE-CODED</t>
        </is>
      </c>
      <c r="H46" s="15" t="inlineStr">
        <is>
          <t>C2</t>
        </is>
      </c>
      <c r="I46" s="15" t="inlineStr">
        <is>
          <t>SOURCE-REGISTERED</t>
        </is>
      </c>
      <c r="J46" s="15" t="inlineStr">
        <is>
          <t>Exact source text where recovered; otherwise registry-only placeholder.</t>
        </is>
      </c>
    </row>
    <row r="47">
      <c r="A47" s="15" t="inlineStr">
        <is>
          <t>EQ-042</t>
        </is>
      </c>
      <c r="B47" s="15" t="inlineStr">
        <is>
          <t>SP</t>
        </is>
      </c>
      <c r="C47" s="15" t="inlineStr">
        <is>
          <t>Spectral Graph</t>
        </is>
      </c>
      <c r="D47" s="15" t="n">
        <v>6</v>
      </c>
      <c r="E47" s="15" t="inlineStr">
        <is>
          <t>L1=0</t>
        </is>
      </c>
      <c r="F47" s="15" t="inlineStr">
        <is>
          <t>Kernel</t>
        </is>
      </c>
      <c r="G47" s="15" t="inlineStr">
        <is>
          <t>SOURCE-CODED</t>
        </is>
      </c>
      <c r="H47" s="15" t="inlineStr">
        <is>
          <t>C2</t>
        </is>
      </c>
      <c r="I47" s="15" t="inlineStr">
        <is>
          <t>SOURCE-REGISTERED</t>
        </is>
      </c>
      <c r="J47" s="15" t="inlineStr">
        <is>
          <t>Exact source text where recovered; otherwise registry-only placeholder.</t>
        </is>
      </c>
    </row>
    <row r="48">
      <c r="A48" s="15" t="inlineStr">
        <is>
          <t>EQ-043</t>
        </is>
      </c>
      <c r="B48" s="15" t="inlineStr">
        <is>
          <t>SP</t>
        </is>
      </c>
      <c r="C48" s="15" t="inlineStr">
        <is>
          <t>Spectral Graph</t>
        </is>
      </c>
      <c r="D48" s="15" t="n">
        <v>7</v>
      </c>
      <c r="E48" s="15" t="inlineStr">
        <is>
          <t>Σ_iλ_i=Tr(L)</t>
        </is>
      </c>
      <c r="F48" s="15" t="inlineStr">
        <is>
          <t>Trace</t>
        </is>
      </c>
      <c r="G48" s="15" t="inlineStr">
        <is>
          <t>SOURCE-CODED</t>
        </is>
      </c>
      <c r="H48" s="15" t="inlineStr">
        <is>
          <t>C2</t>
        </is>
      </c>
      <c r="I48" s="15" t="inlineStr">
        <is>
          <t>SOURCE-REGISTERED</t>
        </is>
      </c>
      <c r="J48" s="15" t="inlineStr">
        <is>
          <t>Exact source text where recovered; otherwise registry-only placeholder.</t>
        </is>
      </c>
    </row>
    <row r="49">
      <c r="A49" s="15" t="inlineStr">
        <is>
          <t>EQ-044</t>
        </is>
      </c>
      <c r="B49" s="15" t="inlineStr">
        <is>
          <t>SP</t>
        </is>
      </c>
      <c r="C49" s="15" t="inlineStr">
        <is>
          <t>Spectral Graph</t>
        </is>
      </c>
      <c r="D49" s="15" t="n">
        <v>8</v>
      </c>
      <c r="E49" s="15" t="inlineStr">
        <is>
          <t>φ_iᵀLφ_j=λ_iδ_ij</t>
        </is>
      </c>
      <c r="F49" s="15" t="inlineStr">
        <is>
          <t>Orthonormality</t>
        </is>
      </c>
      <c r="G49" s="15" t="inlineStr">
        <is>
          <t>SOURCE-CODED</t>
        </is>
      </c>
      <c r="H49" s="15" t="inlineStr">
        <is>
          <t>C2</t>
        </is>
      </c>
      <c r="I49" s="15" t="inlineStr">
        <is>
          <t>SOURCE-REGISTERED</t>
        </is>
      </c>
      <c r="J49" s="15" t="inlineStr">
        <is>
          <t>Exact source text where recovered; otherwise registry-only placeholder.</t>
        </is>
      </c>
    </row>
    <row r="50">
      <c r="A50" s="15" t="inlineStr">
        <is>
          <t>EQ-045</t>
        </is>
      </c>
      <c r="B50" s="15" t="inlineStr">
        <is>
          <t>SP</t>
        </is>
      </c>
      <c r="C50" s="15" t="inlineStr">
        <is>
          <t>Spectral Graph</t>
        </is>
      </c>
      <c r="D50" s="15" t="n">
        <v>9</v>
      </c>
      <c r="E50" s="15" t="inlineStr">
        <is>
          <t>L=BBᵀ</t>
        </is>
      </c>
      <c r="F50" s="15" t="inlineStr">
        <is>
          <t>Incidence factorization</t>
        </is>
      </c>
      <c r="G50" s="15" t="inlineStr">
        <is>
          <t>SOURCE-CODED</t>
        </is>
      </c>
      <c r="H50" s="15" t="inlineStr">
        <is>
          <t>C2</t>
        </is>
      </c>
      <c r="I50" s="15" t="inlineStr">
        <is>
          <t>SOURCE-REGISTERED</t>
        </is>
      </c>
      <c r="J50" s="15" t="inlineStr">
        <is>
          <t>Exact source text where recovered; otherwise registry-only placeholder.</t>
        </is>
      </c>
    </row>
    <row r="51">
      <c r="A51" s="15" t="inlineStr">
        <is>
          <t>EQ-046</t>
        </is>
      </c>
      <c r="B51" s="15" t="inlineStr">
        <is>
          <t>SP</t>
        </is>
      </c>
      <c r="C51" s="15" t="inlineStr">
        <is>
          <t>Spectral Graph</t>
        </is>
      </c>
      <c r="D51" s="15" t="n">
        <v>10</v>
      </c>
      <c r="E51" s="15" t="inlineStr">
        <is>
          <t>L=QΛQᵀ</t>
        </is>
      </c>
      <c r="F51" s="15" t="inlineStr">
        <is>
          <t>Diagonalization</t>
        </is>
      </c>
      <c r="G51" s="15" t="inlineStr">
        <is>
          <t>SOURCE-CODED</t>
        </is>
      </c>
      <c r="H51" s="15" t="inlineStr">
        <is>
          <t>C2</t>
        </is>
      </c>
      <c r="I51" s="15" t="inlineStr">
        <is>
          <t>SOURCE-REGISTERED</t>
        </is>
      </c>
      <c r="J51" s="15" t="inlineStr">
        <is>
          <t>Exact source text where recovered; otherwise registry-only placeholder.</t>
        </is>
      </c>
    </row>
    <row r="52">
      <c r="A52" s="15" t="inlineStr">
        <is>
          <t>EQ-047</t>
        </is>
      </c>
      <c r="B52" s="15" t="inlineStr">
        <is>
          <t>SP</t>
        </is>
      </c>
      <c r="C52" s="15" t="inlineStr">
        <is>
          <t>Spectral Graph</t>
        </is>
      </c>
      <c r="D52" s="15" t="n">
        <v>11</v>
      </c>
      <c r="E52" s="15" t="inlineStr"/>
      <c r="F52" s="15" t="inlineStr"/>
      <c r="G52" s="15" t="inlineStr">
        <is>
          <t>SOURCE-CODED</t>
        </is>
      </c>
      <c r="H52" s="15" t="inlineStr">
        <is>
          <t>C2</t>
        </is>
      </c>
      <c r="I52" s="15" t="inlineStr">
        <is>
          <t>SOURCE-REGISTERED / FORMULA TEXT NOT RETRIEVED</t>
        </is>
      </c>
      <c r="J52" s="15" t="inlineStr">
        <is>
          <t>Exact source text where recovered; otherwise registry-only placeholder.</t>
        </is>
      </c>
    </row>
    <row r="53">
      <c r="A53" s="15" t="inlineStr">
        <is>
          <t>EQ-048</t>
        </is>
      </c>
      <c r="B53" s="15" t="inlineStr">
        <is>
          <t>SP</t>
        </is>
      </c>
      <c r="C53" s="15" t="inlineStr">
        <is>
          <t>Spectral Graph</t>
        </is>
      </c>
      <c r="D53" s="15" t="n">
        <v>12</v>
      </c>
      <c r="E53" s="15" t="inlineStr"/>
      <c r="F53" s="15" t="inlineStr"/>
      <c r="G53" s="15" t="inlineStr">
        <is>
          <t>SOURCE-CODED</t>
        </is>
      </c>
      <c r="H53" s="15" t="inlineStr">
        <is>
          <t>C2</t>
        </is>
      </c>
      <c r="I53" s="15" t="inlineStr">
        <is>
          <t>SOURCE-REGISTERED / FORMULA TEXT NOT RETRIEVED</t>
        </is>
      </c>
      <c r="J53" s="15" t="inlineStr">
        <is>
          <t>Exact source text where recovered; otherwise registry-only placeholder.</t>
        </is>
      </c>
    </row>
    <row r="54">
      <c r="A54" s="15" t="inlineStr">
        <is>
          <t>EQ-049</t>
        </is>
      </c>
      <c r="B54" s="15" t="inlineStr">
        <is>
          <t>SP</t>
        </is>
      </c>
      <c r="C54" s="15" t="inlineStr">
        <is>
          <t>Spectral Graph</t>
        </is>
      </c>
      <c r="D54" s="15" t="n">
        <v>13</v>
      </c>
      <c r="E54" s="15" t="inlineStr"/>
      <c r="F54" s="15" t="inlineStr"/>
      <c r="G54" s="15" t="inlineStr">
        <is>
          <t>SOURCE-CODED</t>
        </is>
      </c>
      <c r="H54" s="15" t="inlineStr">
        <is>
          <t>C2</t>
        </is>
      </c>
      <c r="I54" s="15" t="inlineStr">
        <is>
          <t>SOURCE-REGISTERED / FORMULA TEXT NOT RETRIEVED</t>
        </is>
      </c>
      <c r="J54" s="15" t="inlineStr">
        <is>
          <t>Exact source text where recovered; otherwise registry-only placeholder.</t>
        </is>
      </c>
    </row>
    <row r="55">
      <c r="A55" s="15" t="inlineStr">
        <is>
          <t>EQ-050</t>
        </is>
      </c>
      <c r="B55" s="15" t="inlineStr">
        <is>
          <t>SP</t>
        </is>
      </c>
      <c r="C55" s="15" t="inlineStr">
        <is>
          <t>Spectral Graph</t>
        </is>
      </c>
      <c r="D55" s="15" t="n">
        <v>14</v>
      </c>
      <c r="E55" s="15" t="inlineStr"/>
      <c r="F55" s="15" t="inlineStr"/>
      <c r="G55" s="15" t="inlineStr">
        <is>
          <t>SOURCE-CODED</t>
        </is>
      </c>
      <c r="H55" s="15" t="inlineStr">
        <is>
          <t>C2</t>
        </is>
      </c>
      <c r="I55" s="15" t="inlineStr">
        <is>
          <t>SOURCE-REGISTERED / FORMULA TEXT NOT RETRIEVED</t>
        </is>
      </c>
      <c r="J55" s="15" t="inlineStr">
        <is>
          <t>Exact source text where recovered; otherwise registry-only placeholder.</t>
        </is>
      </c>
    </row>
    <row r="56">
      <c r="A56" s="15" t="inlineStr">
        <is>
          <t>EQ-051</t>
        </is>
      </c>
      <c r="B56" s="15" t="inlineStr">
        <is>
          <t>SP</t>
        </is>
      </c>
      <c r="C56" s="15" t="inlineStr">
        <is>
          <t>Spectral Graph</t>
        </is>
      </c>
      <c r="D56" s="15" t="n">
        <v>15</v>
      </c>
      <c r="E56" s="15" t="inlineStr"/>
      <c r="F56" s="15" t="inlineStr"/>
      <c r="G56" s="15" t="inlineStr">
        <is>
          <t>SOURCE-CODED</t>
        </is>
      </c>
      <c r="H56" s="15" t="inlineStr">
        <is>
          <t>C2</t>
        </is>
      </c>
      <c r="I56" s="15" t="inlineStr">
        <is>
          <t>SOURCE-REGISTERED / FORMULA TEXT NOT RETRIEVED</t>
        </is>
      </c>
      <c r="J56" s="15" t="inlineStr">
        <is>
          <t>Exact source text where recovered; otherwise registry-only placeholder.</t>
        </is>
      </c>
    </row>
    <row r="57">
      <c r="A57" s="15" t="inlineStr">
        <is>
          <t>EQ-052</t>
        </is>
      </c>
      <c r="B57" s="15" t="inlineStr">
        <is>
          <t>SP</t>
        </is>
      </c>
      <c r="C57" s="15" t="inlineStr">
        <is>
          <t>Spectral Graph</t>
        </is>
      </c>
      <c r="D57" s="15" t="n">
        <v>16</v>
      </c>
      <c r="E57" s="15" t="inlineStr"/>
      <c r="F57" s="15" t="inlineStr"/>
      <c r="G57" s="15" t="inlineStr">
        <is>
          <t>SOURCE-CODED</t>
        </is>
      </c>
      <c r="H57" s="15" t="inlineStr">
        <is>
          <t>C2</t>
        </is>
      </c>
      <c r="I57" s="15" t="inlineStr">
        <is>
          <t>SOURCE-REGISTERED / FORMULA TEXT NOT RETRIEVED</t>
        </is>
      </c>
      <c r="J57" s="15" t="inlineStr">
        <is>
          <t>Exact source text where recovered; otherwise registry-only placeholder.</t>
        </is>
      </c>
    </row>
    <row r="58">
      <c r="A58" s="15" t="inlineStr">
        <is>
          <t>EQ-053</t>
        </is>
      </c>
      <c r="B58" s="15" t="inlineStr">
        <is>
          <t>SP</t>
        </is>
      </c>
      <c r="C58" s="15" t="inlineStr">
        <is>
          <t>Spectral Graph</t>
        </is>
      </c>
      <c r="D58" s="15" t="n">
        <v>17</v>
      </c>
      <c r="E58" s="15" t="inlineStr"/>
      <c r="F58" s="15" t="inlineStr"/>
      <c r="G58" s="15" t="inlineStr">
        <is>
          <t>SOURCE-CODED</t>
        </is>
      </c>
      <c r="H58" s="15" t="inlineStr">
        <is>
          <t>C2</t>
        </is>
      </c>
      <c r="I58" s="15" t="inlineStr">
        <is>
          <t>SOURCE-REGISTERED / FORMULA TEXT NOT RETRIEVED</t>
        </is>
      </c>
      <c r="J58" s="15" t="inlineStr">
        <is>
          <t>Exact source text where recovered; otherwise registry-only placeholder.</t>
        </is>
      </c>
    </row>
    <row r="59">
      <c r="A59" s="15" t="inlineStr">
        <is>
          <t>EQ-054</t>
        </is>
      </c>
      <c r="B59" s="15" t="inlineStr">
        <is>
          <t>SP</t>
        </is>
      </c>
      <c r="C59" s="15" t="inlineStr">
        <is>
          <t>Spectral Graph</t>
        </is>
      </c>
      <c r="D59" s="15" t="n">
        <v>18</v>
      </c>
      <c r="E59" s="15" t="inlineStr"/>
      <c r="F59" s="15" t="inlineStr"/>
      <c r="G59" s="15" t="inlineStr">
        <is>
          <t>SOURCE-CODED</t>
        </is>
      </c>
      <c r="H59" s="15" t="inlineStr">
        <is>
          <t>C2</t>
        </is>
      </c>
      <c r="I59" s="15" t="inlineStr">
        <is>
          <t>SOURCE-REGISTERED / FORMULA TEXT NOT RETRIEVED</t>
        </is>
      </c>
      <c r="J59" s="15" t="inlineStr">
        <is>
          <t>Exact source text where recovered; otherwise registry-only placeholder.</t>
        </is>
      </c>
    </row>
    <row r="60">
      <c r="A60" s="15" t="inlineStr">
        <is>
          <t>EQ-055</t>
        </is>
      </c>
      <c r="B60" s="15" t="inlineStr">
        <is>
          <t>SP</t>
        </is>
      </c>
      <c r="C60" s="15" t="inlineStr">
        <is>
          <t>Spectral Graph</t>
        </is>
      </c>
      <c r="D60" s="15" t="n">
        <v>19</v>
      </c>
      <c r="E60" s="15" t="inlineStr"/>
      <c r="F60" s="15" t="inlineStr"/>
      <c r="G60" s="15" t="inlineStr">
        <is>
          <t>SOURCE-CODED</t>
        </is>
      </c>
      <c r="H60" s="15" t="inlineStr">
        <is>
          <t>C2</t>
        </is>
      </c>
      <c r="I60" s="15" t="inlineStr">
        <is>
          <t>SOURCE-REGISTERED / FORMULA TEXT NOT RETRIEVED</t>
        </is>
      </c>
      <c r="J60" s="15" t="inlineStr">
        <is>
          <t>Exact source text where recovered; otherwise registry-only placeholder.</t>
        </is>
      </c>
    </row>
    <row r="61">
      <c r="A61" s="15" t="inlineStr">
        <is>
          <t>EQ-056</t>
        </is>
      </c>
      <c r="B61" s="15" t="inlineStr">
        <is>
          <t>SP</t>
        </is>
      </c>
      <c r="C61" s="15" t="inlineStr">
        <is>
          <t>Spectral Graph</t>
        </is>
      </c>
      <c r="D61" s="15" t="n">
        <v>20</v>
      </c>
      <c r="E61" s="15" t="inlineStr"/>
      <c r="F61" s="15" t="inlineStr"/>
      <c r="G61" s="15" t="inlineStr">
        <is>
          <t>SOURCE-CODED</t>
        </is>
      </c>
      <c r="H61" s="15" t="inlineStr">
        <is>
          <t>C2</t>
        </is>
      </c>
      <c r="I61" s="15" t="inlineStr">
        <is>
          <t>SOURCE-REGISTERED / FORMULA TEXT NOT RETRIEVED</t>
        </is>
      </c>
      <c r="J61" s="15" t="inlineStr">
        <is>
          <t>Exact source text where recovered; otherwise registry-only placeholder.</t>
        </is>
      </c>
    </row>
    <row r="62">
      <c r="A62" s="15" t="inlineStr">
        <is>
          <t>EQ-057</t>
        </is>
      </c>
      <c r="B62" s="15" t="inlineStr">
        <is>
          <t>SP</t>
        </is>
      </c>
      <c r="C62" s="15" t="inlineStr">
        <is>
          <t>Spectral Graph</t>
        </is>
      </c>
      <c r="D62" s="15" t="n">
        <v>21</v>
      </c>
      <c r="E62" s="15" t="inlineStr">
        <is>
          <t>Ω^k=H^k+im(d)+im(δ)</t>
        </is>
      </c>
      <c r="F62" s="15" t="inlineStr"/>
      <c r="G62" s="15" t="inlineStr">
        <is>
          <t>SOURCE-CODED</t>
        </is>
      </c>
      <c r="H62" s="15" t="inlineStr">
        <is>
          <t>C2</t>
        </is>
      </c>
      <c r="I62" s="15" t="inlineStr">
        <is>
          <t>SOURCE-REGISTERED</t>
        </is>
      </c>
      <c r="J62" s="15" t="inlineStr">
        <is>
          <t>Exact source text where recovered; otherwise registry-only placeholder.</t>
        </is>
      </c>
    </row>
    <row r="63">
      <c r="A63" s="15" t="inlineStr">
        <is>
          <t>EQ-058</t>
        </is>
      </c>
      <c r="B63" s="15" t="inlineStr">
        <is>
          <t>SP</t>
        </is>
      </c>
      <c r="C63" s="15" t="inlineStr">
        <is>
          <t>Spectral Graph</t>
        </is>
      </c>
      <c r="D63" s="15" t="n">
        <v>22</v>
      </c>
      <c r="E63" s="15" t="inlineStr">
        <is>
          <t>Spec(Δ)={μ_i}</t>
        </is>
      </c>
      <c r="F63" s="15" t="inlineStr"/>
      <c r="G63" s="15" t="inlineStr">
        <is>
          <t>SOURCE-CODED</t>
        </is>
      </c>
      <c r="H63" s="15" t="inlineStr">
        <is>
          <t>C2</t>
        </is>
      </c>
      <c r="I63" s="15" t="inlineStr">
        <is>
          <t>SOURCE-REGISTERED</t>
        </is>
      </c>
      <c r="J63" s="15" t="inlineStr">
        <is>
          <t>Exact source text where recovered; otherwise registry-only placeholder.</t>
        </is>
      </c>
    </row>
    <row r="64">
      <c r="A64" s="15" t="inlineStr">
        <is>
          <t>EQ-059</t>
        </is>
      </c>
      <c r="B64" s="15" t="inlineStr">
        <is>
          <t>SP</t>
        </is>
      </c>
      <c r="C64" s="15" t="inlineStr">
        <is>
          <t>Spectral Graph</t>
        </is>
      </c>
      <c r="D64" s="15" t="n">
        <v>23</v>
      </c>
      <c r="E64" s="15" t="inlineStr">
        <is>
          <t>Tr(e^{-tΔ})</t>
        </is>
      </c>
      <c r="F64" s="15" t="inlineStr"/>
      <c r="G64" s="15" t="inlineStr">
        <is>
          <t>SOURCE-CODED</t>
        </is>
      </c>
      <c r="H64" s="15" t="inlineStr">
        <is>
          <t>C2</t>
        </is>
      </c>
      <c r="I64" s="15" t="inlineStr">
        <is>
          <t>SOURCE-REGISTERED</t>
        </is>
      </c>
      <c r="J64" s="15" t="inlineStr">
        <is>
          <t>Exact source text where recovered; otherwise registry-only placeholder.</t>
        </is>
      </c>
    </row>
    <row r="65">
      <c r="A65" s="15" t="inlineStr">
        <is>
          <t>EQ-060</t>
        </is>
      </c>
      <c r="B65" s="15" t="inlineStr">
        <is>
          <t>SP</t>
        </is>
      </c>
      <c r="C65" s="15" t="inlineStr">
        <is>
          <t>Spectral Graph</t>
        </is>
      </c>
      <c r="D65" s="15" t="n">
        <v>24</v>
      </c>
      <c r="E65" s="15" t="inlineStr">
        <is>
          <t>∇²=∇·∇</t>
        </is>
      </c>
      <c r="F65" s="15" t="inlineStr"/>
      <c r="G65" s="15" t="inlineStr">
        <is>
          <t>SOURCE-CODED</t>
        </is>
      </c>
      <c r="H65" s="15" t="inlineStr">
        <is>
          <t>C2</t>
        </is>
      </c>
      <c r="I65" s="15" t="inlineStr">
        <is>
          <t>SOURCE-REGISTERED</t>
        </is>
      </c>
      <c r="J65" s="15" t="inlineStr">
        <is>
          <t>Exact source text where recovered; otherwise registry-only placeholder.</t>
        </is>
      </c>
    </row>
    <row r="66">
      <c r="A66" s="15" t="inlineStr">
        <is>
          <t>EQ-061</t>
        </is>
      </c>
      <c r="B66" s="15" t="inlineStr">
        <is>
          <t>SP</t>
        </is>
      </c>
      <c r="C66" s="15" t="inlineStr">
        <is>
          <t>Spectral Graph</t>
        </is>
      </c>
      <c r="D66" s="15" t="n">
        <v>25</v>
      </c>
      <c r="E66" s="15" t="inlineStr">
        <is>
          <t>Δ_g=(1/√|g|)∂_i(√|g|g^{ij}∂_j)</t>
        </is>
      </c>
      <c r="F66" s="15" t="inlineStr"/>
      <c r="G66" s="15" t="inlineStr">
        <is>
          <t>SOURCE-CODED</t>
        </is>
      </c>
      <c r="H66" s="15" t="inlineStr">
        <is>
          <t>C2</t>
        </is>
      </c>
      <c r="I66" s="15" t="inlineStr">
        <is>
          <t>SOURCE-REGISTERED</t>
        </is>
      </c>
      <c r="J66" s="15" t="inlineStr">
        <is>
          <t>Exact source text where recovered; otherwise registry-only placeholder.</t>
        </is>
      </c>
    </row>
    <row r="67">
      <c r="A67" s="15" t="inlineStr">
        <is>
          <t>EQ-062</t>
        </is>
      </c>
      <c r="B67" s="15" t="inlineStr">
        <is>
          <t>GE</t>
        </is>
      </c>
      <c r="C67" s="15" t="inlineStr">
        <is>
          <t>Emergent Geometry</t>
        </is>
      </c>
      <c r="D67" s="15" t="n">
        <v>1</v>
      </c>
      <c r="E67" s="15" t="inlineStr">
        <is>
          <t>d(i,j)=√Σ_k((φ_k(i)−φ_k(j))²/λ_k)</t>
        </is>
      </c>
      <c r="F67" s="15" t="inlineStr">
        <is>
          <t>Diffusion distance</t>
        </is>
      </c>
      <c r="G67" s="15" t="inlineStr">
        <is>
          <t>SOURCE-CODED</t>
        </is>
      </c>
      <c r="H67" s="15" t="inlineStr">
        <is>
          <t>C3</t>
        </is>
      </c>
      <c r="I67" s="15" t="inlineStr">
        <is>
          <t>SOURCE-REGISTERED</t>
        </is>
      </c>
      <c r="J67" s="15" t="inlineStr">
        <is>
          <t>Exact source text where recovered; otherwise registry-only placeholder.</t>
        </is>
      </c>
    </row>
    <row r="68">
      <c r="A68" s="15" t="inlineStr">
        <is>
          <t>EQ-063</t>
        </is>
      </c>
      <c r="B68" s="15" t="inlineStr">
        <is>
          <t>GE</t>
        </is>
      </c>
      <c r="C68" s="15" t="inlineStr">
        <is>
          <t>Emergent Geometry</t>
        </is>
      </c>
      <c r="D68" s="15" t="n">
        <v>2</v>
      </c>
      <c r="E68" s="15" t="inlineStr">
        <is>
          <t>g_ab=Σ_kλ_k⁻¹∂_aφ_k∂_bφ_k</t>
        </is>
      </c>
      <c r="F68" s="15" t="inlineStr">
        <is>
          <t>Spectral metric</t>
        </is>
      </c>
      <c r="G68" s="15" t="inlineStr">
        <is>
          <t>SOURCE-CODED</t>
        </is>
      </c>
      <c r="H68" s="15" t="inlineStr">
        <is>
          <t>C3</t>
        </is>
      </c>
      <c r="I68" s="15" t="inlineStr">
        <is>
          <t>SOURCE-REGISTERED</t>
        </is>
      </c>
      <c r="J68" s="15" t="inlineStr">
        <is>
          <t>Exact source text where recovered; otherwise registry-only placeholder.</t>
        </is>
      </c>
    </row>
    <row r="69">
      <c r="A69" s="15" t="inlineStr">
        <is>
          <t>EQ-064</t>
        </is>
      </c>
      <c r="B69" s="15" t="inlineStr">
        <is>
          <t>GE</t>
        </is>
      </c>
      <c r="C69" s="15" t="inlineStr">
        <is>
          <t>Emergent Geometry</t>
        </is>
      </c>
      <c r="D69" s="15" t="n">
        <v>3</v>
      </c>
      <c r="E69" s="15" t="inlineStr">
        <is>
          <t>ds²=g_{μν}dx^μdx^ν</t>
        </is>
      </c>
      <c r="F69" s="15" t="inlineStr">
        <is>
          <t>Line element</t>
        </is>
      </c>
      <c r="G69" s="15" t="inlineStr">
        <is>
          <t>SOURCE-CODED</t>
        </is>
      </c>
      <c r="H69" s="15" t="inlineStr">
        <is>
          <t>C3</t>
        </is>
      </c>
      <c r="I69" s="15" t="inlineStr">
        <is>
          <t>SOURCE-REGISTERED</t>
        </is>
      </c>
      <c r="J69" s="15" t="inlineStr">
        <is>
          <t>Exact source text where recovered; otherwise registry-only placeholder.</t>
        </is>
      </c>
    </row>
    <row r="70">
      <c r="A70" s="15" t="inlineStr">
        <is>
          <t>EQ-065</t>
        </is>
      </c>
      <c r="B70" s="15" t="inlineStr">
        <is>
          <t>GE</t>
        </is>
      </c>
      <c r="C70" s="15" t="inlineStr">
        <is>
          <t>Emergent Geometry</t>
        </is>
      </c>
      <c r="D70" s="15" t="n">
        <v>4</v>
      </c>
      <c r="E70" s="15" t="inlineStr">
        <is>
          <t>g_ab=−∂²S/∂y^a∂y^b</t>
        </is>
      </c>
      <c r="F70" s="15" t="inlineStr">
        <is>
          <t>Hessian metric</t>
        </is>
      </c>
      <c r="G70" s="15" t="inlineStr">
        <is>
          <t>SOURCE-CODED</t>
        </is>
      </c>
      <c r="H70" s="15" t="inlineStr">
        <is>
          <t>C3</t>
        </is>
      </c>
      <c r="I70" s="15" t="inlineStr">
        <is>
          <t>SOURCE-REGISTERED</t>
        </is>
      </c>
      <c r="J70" s="15" t="inlineStr">
        <is>
          <t>Exact source text where recovered; otherwise registry-only placeholder.</t>
        </is>
      </c>
    </row>
    <row r="71">
      <c r="A71" s="15" t="inlineStr">
        <is>
          <t>EQ-066</t>
        </is>
      </c>
      <c r="B71" s="15" t="inlineStr">
        <is>
          <t>GE</t>
        </is>
      </c>
      <c r="C71" s="15" t="inlineStr">
        <is>
          <t>Emergent Geometry</t>
        </is>
      </c>
      <c r="D71" s="15" t="n">
        <v>5</v>
      </c>
      <c r="E71" s="15" t="inlineStr">
        <is>
          <t>&lt;φ,ψ&gt;=∫_Mφ*ψdμ</t>
        </is>
      </c>
      <c r="F71" s="15" t="inlineStr">
        <is>
          <t>Inner product</t>
        </is>
      </c>
      <c r="G71" s="15" t="inlineStr">
        <is>
          <t>SOURCE-CODED</t>
        </is>
      </c>
      <c r="H71" s="15" t="inlineStr">
        <is>
          <t>C3</t>
        </is>
      </c>
      <c r="I71" s="15" t="inlineStr">
        <is>
          <t>SOURCE-REGISTERED</t>
        </is>
      </c>
      <c r="J71" s="15" t="inlineStr">
        <is>
          <t>Exact source text where recovered; otherwise registry-only placeholder.</t>
        </is>
      </c>
    </row>
    <row r="72">
      <c r="A72" s="15" t="inlineStr">
        <is>
          <t>EQ-067</t>
        </is>
      </c>
      <c r="B72" s="15" t="inlineStr">
        <is>
          <t>GE</t>
        </is>
      </c>
      <c r="C72" s="15" t="inlineStr">
        <is>
          <t>Emergent Geometry</t>
        </is>
      </c>
      <c r="D72" s="15" t="n">
        <v>6</v>
      </c>
      <c r="E72" s="15" t="inlineStr">
        <is>
          <t>||ψ||²=&lt;ψ,ψ&gt;</t>
        </is>
      </c>
      <c r="F72" s="15" t="inlineStr">
        <is>
          <t>Norm</t>
        </is>
      </c>
      <c r="G72" s="15" t="inlineStr">
        <is>
          <t>SOURCE-CODED</t>
        </is>
      </c>
      <c r="H72" s="15" t="inlineStr">
        <is>
          <t>C3</t>
        </is>
      </c>
      <c r="I72" s="15" t="inlineStr">
        <is>
          <t>SOURCE-REGISTERED</t>
        </is>
      </c>
      <c r="J72" s="15" t="inlineStr">
        <is>
          <t>Exact source text where recovered; otherwise registry-only placeholder.</t>
        </is>
      </c>
    </row>
    <row r="73">
      <c r="A73" s="15" t="inlineStr">
        <is>
          <t>EQ-068</t>
        </is>
      </c>
      <c r="B73" s="15" t="inlineStr">
        <is>
          <t>GE</t>
        </is>
      </c>
      <c r="C73" s="15" t="inlineStr">
        <is>
          <t>Emergent Geometry</t>
        </is>
      </c>
      <c r="D73" s="15" t="n">
        <v>7</v>
      </c>
      <c r="E73" s="15" t="inlineStr">
        <is>
          <t>Tr(AB)=Tr(BA)</t>
        </is>
      </c>
      <c r="F73" s="15" t="inlineStr">
        <is>
          <t>Cyclicity</t>
        </is>
      </c>
      <c r="G73" s="15" t="inlineStr">
        <is>
          <t>SOURCE-CODED</t>
        </is>
      </c>
      <c r="H73" s="15" t="inlineStr">
        <is>
          <t>C3</t>
        </is>
      </c>
      <c r="I73" s="15" t="inlineStr">
        <is>
          <t>SOURCE-REGISTERED</t>
        </is>
      </c>
      <c r="J73" s="15" t="inlineStr">
        <is>
          <t>Exact source text where recovered; otherwise registry-only placeholder.</t>
        </is>
      </c>
    </row>
    <row r="74">
      <c r="A74" s="15" t="inlineStr">
        <is>
          <t>EQ-069</t>
        </is>
      </c>
      <c r="B74" s="15" t="inlineStr">
        <is>
          <t>GE</t>
        </is>
      </c>
      <c r="C74" s="15" t="inlineStr">
        <is>
          <t>Emergent Geometry</t>
        </is>
      </c>
      <c r="D74" s="15" t="n">
        <v>8</v>
      </c>
      <c r="E74" s="15" t="inlineStr">
        <is>
          <t>K(t)=Tr(e^{-tD²})</t>
        </is>
      </c>
      <c r="F74" s="15" t="inlineStr">
        <is>
          <t>Heat-kernel trace</t>
        </is>
      </c>
      <c r="G74" s="15" t="inlineStr">
        <is>
          <t>SOURCE-CODED</t>
        </is>
      </c>
      <c r="H74" s="15" t="inlineStr">
        <is>
          <t>C3</t>
        </is>
      </c>
      <c r="I74" s="15" t="inlineStr">
        <is>
          <t>SOURCE-REGISTERED</t>
        </is>
      </c>
      <c r="J74" s="15" t="inlineStr">
        <is>
          <t>Exact source text where recovered; otherwise registry-only placeholder.</t>
        </is>
      </c>
    </row>
    <row r="75">
      <c r="A75" s="15" t="inlineStr">
        <is>
          <t>EQ-070</t>
        </is>
      </c>
      <c r="B75" s="15" t="inlineStr">
        <is>
          <t>GE</t>
        </is>
      </c>
      <c r="C75" s="15" t="inlineStr">
        <is>
          <t>Emergent Geometry</t>
        </is>
      </c>
      <c r="D75" s="15" t="n">
        <v>9</v>
      </c>
      <c r="E75" s="15" t="inlineStr">
        <is>
          <t>(1/ε²)L_{Gε}→Δ_g as ε→0</t>
        </is>
      </c>
      <c r="F75" s="15" t="inlineStr">
        <is>
          <t>Continuum limit</t>
        </is>
      </c>
      <c r="G75" s="15" t="inlineStr">
        <is>
          <t>SOURCE-CODED</t>
        </is>
      </c>
      <c r="H75" s="15" t="inlineStr">
        <is>
          <t>C3</t>
        </is>
      </c>
      <c r="I75" s="15" t="inlineStr">
        <is>
          <t>SOURCE-REGISTERED</t>
        </is>
      </c>
      <c r="J75" s="15" t="inlineStr">
        <is>
          <t>Exact source text where recovered; otherwise registry-only placeholder.</t>
        </is>
      </c>
    </row>
    <row r="76">
      <c r="A76" s="15" t="inlineStr">
        <is>
          <t>EQ-071</t>
        </is>
      </c>
      <c r="B76" s="15" t="inlineStr">
        <is>
          <t>GE</t>
        </is>
      </c>
      <c r="C76" s="15" t="inlineStr">
        <is>
          <t>Emergent Geometry</t>
        </is>
      </c>
      <c r="D76" s="15" t="n">
        <v>10</v>
      </c>
      <c r="E76" s="15" t="inlineStr">
        <is>
          <t>D_s=−2lim_{t→0}d(lnP)/d(lnt)</t>
        </is>
      </c>
      <c r="F76" s="15" t="inlineStr">
        <is>
          <t>Spectral dimension</t>
        </is>
      </c>
      <c r="G76" s="15" t="inlineStr">
        <is>
          <t>SOURCE-CODED</t>
        </is>
      </c>
      <c r="H76" s="15" t="inlineStr">
        <is>
          <t>C3</t>
        </is>
      </c>
      <c r="I76" s="15" t="inlineStr">
        <is>
          <t>SOURCE-REGISTERED</t>
        </is>
      </c>
      <c r="J76" s="15" t="inlineStr">
        <is>
          <t>Exact source text where recovered; otherwise registry-only placeholder.</t>
        </is>
      </c>
    </row>
    <row r="77">
      <c r="A77" s="15" t="inlineStr">
        <is>
          <t>EQ-072</t>
        </is>
      </c>
      <c r="B77" s="15" t="inlineStr">
        <is>
          <t>GE</t>
        </is>
      </c>
      <c r="C77" s="15" t="inlineStr">
        <is>
          <t>Emergent Geometry</t>
        </is>
      </c>
      <c r="D77" s="15" t="n">
        <v>11</v>
      </c>
      <c r="E77" s="15" t="inlineStr">
        <is>
          <t>∇_μV^ν=∂_μV^ν+Γ^ν_{μλ}V^λ</t>
        </is>
      </c>
      <c r="F77" s="15" t="inlineStr">
        <is>
          <t>Covariant derivative</t>
        </is>
      </c>
      <c r="G77" s="15" t="inlineStr">
        <is>
          <t>SOURCE-CODED</t>
        </is>
      </c>
      <c r="H77" s="15" t="inlineStr">
        <is>
          <t>C3</t>
        </is>
      </c>
      <c r="I77" s="15" t="inlineStr">
        <is>
          <t>SOURCE-REGISTERED</t>
        </is>
      </c>
      <c r="J77" s="15" t="inlineStr">
        <is>
          <t>Exact source text where recovered; otherwise registry-only placeholder.</t>
        </is>
      </c>
    </row>
    <row r="78">
      <c r="A78" s="15" t="inlineStr">
        <is>
          <t>EQ-073</t>
        </is>
      </c>
      <c r="B78" s="15" t="inlineStr">
        <is>
          <t>GE</t>
        </is>
      </c>
      <c r="C78" s="15" t="inlineStr">
        <is>
          <t>Emergent Geometry</t>
        </is>
      </c>
      <c r="D78" s="15" t="n">
        <v>12</v>
      </c>
      <c r="E78" s="15" t="inlineStr">
        <is>
          <t>∇_μg_{αβ}=0</t>
        </is>
      </c>
      <c r="F78" s="15" t="inlineStr">
        <is>
          <t>Metric compatibility</t>
        </is>
      </c>
      <c r="G78" s="15" t="inlineStr">
        <is>
          <t>SOURCE-CODED</t>
        </is>
      </c>
      <c r="H78" s="15" t="inlineStr">
        <is>
          <t>C3</t>
        </is>
      </c>
      <c r="I78" s="15" t="inlineStr">
        <is>
          <t>SOURCE-REGISTERED</t>
        </is>
      </c>
      <c r="J78" s="15" t="inlineStr">
        <is>
          <t>Exact source text where recovered; otherwise registry-only placeholder.</t>
        </is>
      </c>
    </row>
    <row r="79">
      <c r="A79" s="15" t="inlineStr">
        <is>
          <t>EQ-074</t>
        </is>
      </c>
      <c r="B79" s="15" t="inlineStr">
        <is>
          <t>GE</t>
        </is>
      </c>
      <c r="C79" s="15" t="inlineStr">
        <is>
          <t>Emergent Geometry</t>
        </is>
      </c>
      <c r="D79" s="15" t="n">
        <v>13</v>
      </c>
      <c r="E79" s="15" t="inlineStr">
        <is>
          <t>∇_μT^{μν}=0</t>
        </is>
      </c>
      <c r="F79" s="15" t="inlineStr">
        <is>
          <t>Conservation</t>
        </is>
      </c>
      <c r="G79" s="15" t="inlineStr">
        <is>
          <t>SOURCE-CODED</t>
        </is>
      </c>
      <c r="H79" s="15" t="inlineStr">
        <is>
          <t>C3</t>
        </is>
      </c>
      <c r="I79" s="15" t="inlineStr">
        <is>
          <t>SOURCE-REGISTERED</t>
        </is>
      </c>
      <c r="J79" s="15" t="inlineStr">
        <is>
          <t>Exact source text where recovered; otherwise registry-only placeholder.</t>
        </is>
      </c>
    </row>
    <row r="80">
      <c r="A80" s="15" t="inlineStr">
        <is>
          <t>EQ-075</t>
        </is>
      </c>
      <c r="B80" s="15" t="inlineStr">
        <is>
          <t>GE</t>
        </is>
      </c>
      <c r="C80" s="15" t="inlineStr">
        <is>
          <t>Emergent Geometry</t>
        </is>
      </c>
      <c r="D80" s="15" t="n">
        <v>14</v>
      </c>
      <c r="E80" s="15" t="inlineStr">
        <is>
          <t>□=g^{μν}∇_μ∇_ν</t>
        </is>
      </c>
      <c r="F80" s="15" t="inlineStr">
        <is>
          <t>D'Alembertian</t>
        </is>
      </c>
      <c r="G80" s="15" t="inlineStr">
        <is>
          <t>SOURCE-CODED</t>
        </is>
      </c>
      <c r="H80" s="15" t="inlineStr">
        <is>
          <t>C3</t>
        </is>
      </c>
      <c r="I80" s="15" t="inlineStr">
        <is>
          <t>SOURCE-REGISTERED</t>
        </is>
      </c>
      <c r="J80" s="15" t="inlineStr">
        <is>
          <t>Exact source text where recovered; otherwise registry-only placeholder.</t>
        </is>
      </c>
    </row>
    <row r="81">
      <c r="A81" s="15" t="inlineStr">
        <is>
          <t>EQ-076</t>
        </is>
      </c>
      <c r="B81" s="15" t="inlineStr">
        <is>
          <t>PE</t>
        </is>
      </c>
      <c r="C81" s="15" t="inlineStr">
        <is>
          <t>Persistence / Variational</t>
        </is>
      </c>
      <c r="D81" s="15" t="n">
        <v>1</v>
      </c>
      <c r="E81" s="15" t="inlineStr">
        <is>
          <t>C[y]=∫L(y,y')dt</t>
        </is>
      </c>
      <c r="F81" s="15" t="inlineStr">
        <is>
          <t>Cost functional</t>
        </is>
      </c>
      <c r="G81" s="15" t="inlineStr">
        <is>
          <t>SOURCE-CODED</t>
        </is>
      </c>
      <c r="H81" s="15" t="inlineStr">
        <is>
          <t>C4</t>
        </is>
      </c>
      <c r="I81" s="15" t="inlineStr">
        <is>
          <t>SOURCE-REGISTERED</t>
        </is>
      </c>
      <c r="J81" s="15" t="inlineStr">
        <is>
          <t>Exact source text where recovered; otherwise registry-only placeholder.</t>
        </is>
      </c>
    </row>
    <row r="82">
      <c r="A82" s="15" t="inlineStr">
        <is>
          <t>EQ-077</t>
        </is>
      </c>
      <c r="B82" s="15" t="inlineStr">
        <is>
          <t>PE</t>
        </is>
      </c>
      <c r="C82" s="15" t="inlineStr">
        <is>
          <t>Persistence / Variational</t>
        </is>
      </c>
      <c r="D82" s="15" t="n">
        <v>2</v>
      </c>
      <c r="E82" s="15" t="inlineStr">
        <is>
          <t>C_F[y]=∫(g_aby'^ay'^b+2I_F)dt</t>
        </is>
      </c>
      <c r="F82" s="15" t="inlineStr">
        <is>
          <t>Fisher cost</t>
        </is>
      </c>
      <c r="G82" s="15" t="inlineStr">
        <is>
          <t>SOURCE-CODED</t>
        </is>
      </c>
      <c r="H82" s="15" t="inlineStr">
        <is>
          <t>C4</t>
        </is>
      </c>
      <c r="I82" s="15" t="inlineStr">
        <is>
          <t>SOURCE-REGISTERED</t>
        </is>
      </c>
      <c r="J82" s="15" t="inlineStr">
        <is>
          <t>Exact source text where recovered; otherwise registry-only placeholder.</t>
        </is>
      </c>
    </row>
    <row r="83">
      <c r="A83" s="15" t="inlineStr">
        <is>
          <t>EQ-078</t>
        </is>
      </c>
      <c r="B83" s="15" t="inlineStr">
        <is>
          <t>PE</t>
        </is>
      </c>
      <c r="C83" s="15" t="inlineStr">
        <is>
          <t>Persistence / Variational</t>
        </is>
      </c>
      <c r="D83" s="15" t="n">
        <v>3</v>
      </c>
      <c r="E83" s="15" t="inlineStr">
        <is>
          <t>δC=0</t>
        </is>
      </c>
      <c r="F83" s="15" t="inlineStr">
        <is>
          <t>Variational principle</t>
        </is>
      </c>
      <c r="G83" s="15" t="inlineStr">
        <is>
          <t>SOURCE-CODED</t>
        </is>
      </c>
      <c r="H83" s="15" t="inlineStr">
        <is>
          <t>C4</t>
        </is>
      </c>
      <c r="I83" s="15" t="inlineStr">
        <is>
          <t>SOURCE-REGISTERED</t>
        </is>
      </c>
      <c r="J83" s="15" t="inlineStr">
        <is>
          <t>Exact source text where recovered; otherwise registry-only placeholder.</t>
        </is>
      </c>
    </row>
    <row r="84">
      <c r="A84" s="15" t="inlineStr">
        <is>
          <t>EQ-079</t>
        </is>
      </c>
      <c r="B84" s="15" t="inlineStr">
        <is>
          <t>PE</t>
        </is>
      </c>
      <c r="C84" s="15" t="inlineStr">
        <is>
          <t>Persistence / Variational</t>
        </is>
      </c>
      <c r="D84" s="15" t="n">
        <v>4</v>
      </c>
      <c r="E84" s="15" t="inlineStr">
        <is>
          <t>d/dt(∂L/∂q̇_i)−∂L/∂q_i=0</t>
        </is>
      </c>
      <c r="F84" s="15" t="inlineStr">
        <is>
          <t>Euler–Lagrange</t>
        </is>
      </c>
      <c r="G84" s="15" t="inlineStr">
        <is>
          <t>SOURCE-CODED</t>
        </is>
      </c>
      <c r="H84" s="15" t="inlineStr">
        <is>
          <t>C4</t>
        </is>
      </c>
      <c r="I84" s="15" t="inlineStr">
        <is>
          <t>SOURCE-REGISTERED</t>
        </is>
      </c>
      <c r="J84" s="15" t="inlineStr">
        <is>
          <t>Exact source text where recovered; otherwise registry-only placeholder.</t>
        </is>
      </c>
    </row>
    <row r="85">
      <c r="A85" s="15" t="inlineStr">
        <is>
          <t>EQ-080</t>
        </is>
      </c>
      <c r="B85" s="15" t="inlineStr">
        <is>
          <t>PE</t>
        </is>
      </c>
      <c r="C85" s="15" t="inlineStr">
        <is>
          <t>Persistence / Variational</t>
        </is>
      </c>
      <c r="D85" s="15" t="n">
        <v>5</v>
      </c>
      <c r="E85" s="15" t="inlineStr">
        <is>
          <t>δS=0</t>
        </is>
      </c>
      <c r="F85" s="15" t="inlineStr">
        <is>
          <t>Action principle</t>
        </is>
      </c>
      <c r="G85" s="15" t="inlineStr">
        <is>
          <t>SOURCE-CODED</t>
        </is>
      </c>
      <c r="H85" s="15" t="inlineStr">
        <is>
          <t>C4</t>
        </is>
      </c>
      <c r="I85" s="15" t="inlineStr">
        <is>
          <t>SOURCE-REGISTERED</t>
        </is>
      </c>
      <c r="J85" s="15" t="inlineStr">
        <is>
          <t>Exact source text where recovered; otherwise registry-only placeholder.</t>
        </is>
      </c>
    </row>
    <row r="86">
      <c r="A86" s="15" t="inlineStr">
        <is>
          <t>EQ-081</t>
        </is>
      </c>
      <c r="B86" s="15" t="inlineStr">
        <is>
          <t>PE</t>
        </is>
      </c>
      <c r="C86" s="15" t="inlineStr">
        <is>
          <t>Persistence / Variational</t>
        </is>
      </c>
      <c r="D86" s="15" t="n">
        <v>6</v>
      </c>
      <c r="E86" s="15" t="inlineStr">
        <is>
          <t>S=∫Ldt</t>
        </is>
      </c>
      <c r="F86" s="15" t="inlineStr">
        <is>
          <t>Action</t>
        </is>
      </c>
      <c r="G86" s="15" t="inlineStr">
        <is>
          <t>SOURCE-CODED</t>
        </is>
      </c>
      <c r="H86" s="15" t="inlineStr">
        <is>
          <t>C4</t>
        </is>
      </c>
      <c r="I86" s="15" t="inlineStr">
        <is>
          <t>SOURCE-REGISTERED</t>
        </is>
      </c>
      <c r="J86" s="15" t="inlineStr">
        <is>
          <t>Exact source text where recovered; otherwise registry-only placeholder.</t>
        </is>
      </c>
    </row>
    <row r="87">
      <c r="A87" s="15" t="inlineStr">
        <is>
          <t>EQ-082</t>
        </is>
      </c>
      <c r="B87" s="15" t="inlineStr">
        <is>
          <t>PE</t>
        </is>
      </c>
      <c r="C87" s="15" t="inlineStr">
        <is>
          <t>Persistence / Variational</t>
        </is>
      </c>
      <c r="D87" s="15" t="n">
        <v>7</v>
      </c>
      <c r="E87" s="15" t="inlineStr">
        <is>
          <t>G_{μν}=R_{μν}−(1/2)Rg_{μν}</t>
        </is>
      </c>
      <c r="F87" s="15" t="inlineStr">
        <is>
          <t>Einstein tensor</t>
        </is>
      </c>
      <c r="G87" s="15" t="inlineStr">
        <is>
          <t>SOURCE-CODED</t>
        </is>
      </c>
      <c r="H87" s="15" t="inlineStr">
        <is>
          <t>C4</t>
        </is>
      </c>
      <c r="I87" s="15" t="inlineStr">
        <is>
          <t>SOURCE-REGISTERED</t>
        </is>
      </c>
      <c r="J87" s="15" t="inlineStr">
        <is>
          <t>Exact source text where recovered; otherwise registry-only placeholder.</t>
        </is>
      </c>
    </row>
    <row r="88">
      <c r="A88" s="15" t="inlineStr">
        <is>
          <t>EQ-083</t>
        </is>
      </c>
      <c r="B88" s="15" t="inlineStr">
        <is>
          <t>PE</t>
        </is>
      </c>
      <c r="C88" s="15" t="inlineStr">
        <is>
          <t>Persistence / Variational</t>
        </is>
      </c>
      <c r="D88" s="15" t="n">
        <v>8</v>
      </c>
      <c r="E88" s="15" t="inlineStr">
        <is>
          <t>G_{μν}+Λg_{μν}=8πGT_{μν}</t>
        </is>
      </c>
      <c r="F88" s="15" t="inlineStr">
        <is>
          <t>Einstein equation</t>
        </is>
      </c>
      <c r="G88" s="15" t="inlineStr">
        <is>
          <t>SOURCE-CODED</t>
        </is>
      </c>
      <c r="H88" s="15" t="inlineStr">
        <is>
          <t>C4</t>
        </is>
      </c>
      <c r="I88" s="15" t="inlineStr">
        <is>
          <t>SOURCE-REGISTERED</t>
        </is>
      </c>
      <c r="J88" s="15" t="inlineStr">
        <is>
          <t>Exact source text where recovered; otherwise registry-only placeholder.</t>
        </is>
      </c>
    </row>
    <row r="89">
      <c r="A89" s="15" t="inlineStr">
        <is>
          <t>EQ-084</t>
        </is>
      </c>
      <c r="B89" s="15" t="inlineStr">
        <is>
          <t>PE</t>
        </is>
      </c>
      <c r="C89" s="15" t="inlineStr">
        <is>
          <t>Persistence / Variational</t>
        </is>
      </c>
      <c r="D89" s="15" t="n">
        <v>9</v>
      </c>
      <c r="E89" s="15" t="inlineStr">
        <is>
          <t>G_{μν}+Λg_{μν}=αT_{μν}</t>
        </is>
      </c>
      <c r="F89" s="15" t="inlineStr">
        <is>
          <t>Compiler-normalized field equation</t>
        </is>
      </c>
      <c r="G89" s="15" t="inlineStr">
        <is>
          <t>SOURCE-CODED</t>
        </is>
      </c>
      <c r="H89" s="15" t="inlineStr">
        <is>
          <t>C4</t>
        </is>
      </c>
      <c r="I89" s="15" t="inlineStr">
        <is>
          <t>SOURCE-REGISTERED</t>
        </is>
      </c>
      <c r="J89" s="15" t="inlineStr">
        <is>
          <t>Exact source text where recovered; otherwise registry-only placeholder.</t>
        </is>
      </c>
    </row>
    <row r="90">
      <c r="A90" s="15" t="inlineStr">
        <is>
          <t>EQ-085</t>
        </is>
      </c>
      <c r="B90" s="15" t="inlineStr">
        <is>
          <t>PE</t>
        </is>
      </c>
      <c r="C90" s="15" t="inlineStr">
        <is>
          <t>Persistence / Variational</t>
        </is>
      </c>
      <c r="D90" s="15" t="n">
        <v>10</v>
      </c>
      <c r="E90" s="15" t="inlineStr">
        <is>
          <t>D_t=∂_t+u·∇</t>
        </is>
      </c>
      <c r="F90" s="15" t="inlineStr">
        <is>
          <t>Material derivative</t>
        </is>
      </c>
      <c r="G90" s="15" t="inlineStr">
        <is>
          <t>SOURCE-CODED</t>
        </is>
      </c>
      <c r="H90" s="15" t="inlineStr">
        <is>
          <t>C4</t>
        </is>
      </c>
      <c r="I90" s="15" t="inlineStr">
        <is>
          <t>SOURCE-REGISTERED</t>
        </is>
      </c>
      <c r="J90" s="15" t="inlineStr">
        <is>
          <t>Exact source text where recovered; otherwise registry-only placeholder.</t>
        </is>
      </c>
    </row>
    <row r="91">
      <c r="A91" s="15" t="inlineStr">
        <is>
          <t>EQ-086</t>
        </is>
      </c>
      <c r="B91" s="15" t="inlineStr">
        <is>
          <t>PE</t>
        </is>
      </c>
      <c r="C91" s="15" t="inlineStr">
        <is>
          <t>Persistence / Variational</t>
        </is>
      </c>
      <c r="D91" s="15" t="n">
        <v>11</v>
      </c>
      <c r="E91" s="15" t="inlineStr">
        <is>
          <t>∇φ</t>
        </is>
      </c>
      <c r="F91" s="15" t="inlineStr">
        <is>
          <t>Gradient</t>
        </is>
      </c>
      <c r="G91" s="15" t="inlineStr">
        <is>
          <t>SOURCE-CODED</t>
        </is>
      </c>
      <c r="H91" s="15" t="inlineStr">
        <is>
          <t>C4</t>
        </is>
      </c>
      <c r="I91" s="15" t="inlineStr">
        <is>
          <t>SOURCE-REGISTERED</t>
        </is>
      </c>
      <c r="J91" s="15" t="inlineStr">
        <is>
          <t>Exact source text where recovered; otherwise registry-only placeholder.</t>
        </is>
      </c>
    </row>
    <row r="92">
      <c r="A92" s="15" t="inlineStr">
        <is>
          <t>EQ-087</t>
        </is>
      </c>
      <c r="B92" s="15" t="inlineStr">
        <is>
          <t>PE</t>
        </is>
      </c>
      <c r="C92" s="15" t="inlineStr">
        <is>
          <t>Persistence / Variational</t>
        </is>
      </c>
      <c r="D92" s="15" t="n">
        <v>12</v>
      </c>
      <c r="E92" s="15" t="inlineStr">
        <is>
          <t>δS_org=0</t>
        </is>
      </c>
      <c r="F92" s="15" t="inlineStr">
        <is>
          <t>Organizational action stationarity</t>
        </is>
      </c>
      <c r="G92" s="15" t="inlineStr">
        <is>
          <t>SOURCE-CODED</t>
        </is>
      </c>
      <c r="H92" s="15" t="inlineStr">
        <is>
          <t>C4</t>
        </is>
      </c>
      <c r="I92" s="15" t="inlineStr">
        <is>
          <t>SOURCE-REGISTERED</t>
        </is>
      </c>
      <c r="J92" s="15" t="inlineStr">
        <is>
          <t>Exact source text where recovered; otherwise registry-only placeholder.</t>
        </is>
      </c>
    </row>
    <row r="93">
      <c r="A93" s="15" t="inlineStr">
        <is>
          <t>EQ-088</t>
        </is>
      </c>
      <c r="B93" s="15" t="inlineStr">
        <is>
          <t>PE</t>
        </is>
      </c>
      <c r="C93" s="15" t="inlineStr">
        <is>
          <t>Persistence / Variational</t>
        </is>
      </c>
      <c r="D93" s="15" t="n">
        <v>13</v>
      </c>
      <c r="E93" s="15" t="inlineStr">
        <is>
          <t>S_org=∫(kinetic+constraint)dt</t>
        </is>
      </c>
      <c r="F93" s="15" t="inlineStr">
        <is>
          <t>Organizational action</t>
        </is>
      </c>
      <c r="G93" s="15" t="inlineStr">
        <is>
          <t>SOURCE-CODED</t>
        </is>
      </c>
      <c r="H93" s="15" t="inlineStr">
        <is>
          <t>C4</t>
        </is>
      </c>
      <c r="I93" s="15" t="inlineStr">
        <is>
          <t>SOURCE-REGISTERED</t>
        </is>
      </c>
      <c r="J93" s="15" t="inlineStr">
        <is>
          <t>Exact source text where recovered; otherwise registry-only placeholder.</t>
        </is>
      </c>
    </row>
    <row r="94">
      <c r="A94" s="15" t="inlineStr">
        <is>
          <t>EQ-089</t>
        </is>
      </c>
      <c r="B94" s="15" t="inlineStr">
        <is>
          <t>CV</t>
        </is>
      </c>
      <c r="C94" s="15" t="inlineStr">
        <is>
          <t>Curvature</t>
        </is>
      </c>
      <c r="D94" s="15" t="n">
        <v>1</v>
      </c>
      <c r="E94" s="15" t="inlineStr">
        <is>
          <t>Γ^a_bc=(1/2)g^{ad}(∂_bg_dc+∂_cg_db−∂_dg_bc)</t>
        </is>
      </c>
      <c r="F94" s="15" t="inlineStr">
        <is>
          <t>Christoffel</t>
        </is>
      </c>
      <c r="G94" s="15" t="inlineStr">
        <is>
          <t>SOURCE-CODED</t>
        </is>
      </c>
      <c r="H94" s="15" t="inlineStr">
        <is>
          <t>C3</t>
        </is>
      </c>
      <c r="I94" s="15" t="inlineStr">
        <is>
          <t>SOURCE-REGISTERED</t>
        </is>
      </c>
      <c r="J94" s="15" t="inlineStr">
        <is>
          <t>Exact source text where recovered; otherwise registry-only placeholder.</t>
        </is>
      </c>
    </row>
    <row r="95">
      <c r="A95" s="15" t="inlineStr">
        <is>
          <t>EQ-090</t>
        </is>
      </c>
      <c r="B95" s="15" t="inlineStr">
        <is>
          <t>CV</t>
        </is>
      </c>
      <c r="C95" s="15" t="inlineStr">
        <is>
          <t>Curvature</t>
        </is>
      </c>
      <c r="D95" s="15" t="n">
        <v>2</v>
      </c>
      <c r="E95" s="15" t="inlineStr">
        <is>
          <t>R^a_bcd=∂_cΓ^a_bd−∂_dΓ^a_bc+Γ^a_ceΓ^e_bd−Γ^a_deΓ^e_bc</t>
        </is>
      </c>
      <c r="F95" s="15" t="inlineStr">
        <is>
          <t>Riemann tensor</t>
        </is>
      </c>
      <c r="G95" s="15" t="inlineStr">
        <is>
          <t>SOURCE-CODED</t>
        </is>
      </c>
      <c r="H95" s="15" t="inlineStr">
        <is>
          <t>C3</t>
        </is>
      </c>
      <c r="I95" s="15" t="inlineStr">
        <is>
          <t>SOURCE-REGISTERED</t>
        </is>
      </c>
      <c r="J95" s="15" t="inlineStr">
        <is>
          <t>Exact source text where recovered; otherwise registry-only placeholder.</t>
        </is>
      </c>
    </row>
    <row r="96">
      <c r="A96" s="15" t="inlineStr">
        <is>
          <t>EQ-091</t>
        </is>
      </c>
      <c r="B96" s="15" t="inlineStr">
        <is>
          <t>CV</t>
        </is>
      </c>
      <c r="C96" s="15" t="inlineStr">
        <is>
          <t>Curvature</t>
        </is>
      </c>
      <c r="D96" s="15" t="n">
        <v>3</v>
      </c>
      <c r="E96" s="15" t="inlineStr">
        <is>
          <t>R_ab=R^c_acb</t>
        </is>
      </c>
      <c r="F96" s="15" t="inlineStr">
        <is>
          <t>Ricci tensor</t>
        </is>
      </c>
      <c r="G96" s="15" t="inlineStr">
        <is>
          <t>SOURCE-CODED</t>
        </is>
      </c>
      <c r="H96" s="15" t="inlineStr">
        <is>
          <t>C3</t>
        </is>
      </c>
      <c r="I96" s="15" t="inlineStr">
        <is>
          <t>SOURCE-REGISTERED</t>
        </is>
      </c>
      <c r="J96" s="15" t="inlineStr">
        <is>
          <t>Exact source text where recovered; otherwise registry-only placeholder.</t>
        </is>
      </c>
    </row>
    <row r="97">
      <c r="A97" s="15" t="inlineStr">
        <is>
          <t>EQ-092</t>
        </is>
      </c>
      <c r="B97" s="15" t="inlineStr">
        <is>
          <t>CV</t>
        </is>
      </c>
      <c r="C97" s="15" t="inlineStr">
        <is>
          <t>Curvature</t>
        </is>
      </c>
      <c r="D97" s="15" t="n">
        <v>4</v>
      </c>
      <c r="E97" s="15" t="inlineStr">
        <is>
          <t>R=g^{ab}R_ab</t>
        </is>
      </c>
      <c r="F97" s="15" t="inlineStr">
        <is>
          <t>Ricci scalar</t>
        </is>
      </c>
      <c r="G97" s="15" t="inlineStr">
        <is>
          <t>SOURCE-CODED</t>
        </is>
      </c>
      <c r="H97" s="15" t="inlineStr">
        <is>
          <t>C3</t>
        </is>
      </c>
      <c r="I97" s="15" t="inlineStr">
        <is>
          <t>SOURCE-REGISTERED</t>
        </is>
      </c>
      <c r="J97" s="15" t="inlineStr">
        <is>
          <t>Exact source text where recovered; otherwise registry-only placeholder.</t>
        </is>
      </c>
    </row>
    <row r="98">
      <c r="A98" s="15" t="inlineStr">
        <is>
          <t>EQ-093</t>
        </is>
      </c>
      <c r="B98" s="15" t="inlineStr">
        <is>
          <t>CV</t>
        </is>
      </c>
      <c r="C98" s="15" t="inlineStr">
        <is>
          <t>Curvature</t>
        </is>
      </c>
      <c r="D98" s="15" t="n">
        <v>5</v>
      </c>
      <c r="E98" s="15" t="inlineStr">
        <is>
          <t>G_ab=R_ab−(1/2)Rg_ab</t>
        </is>
      </c>
      <c r="F98" s="15" t="inlineStr">
        <is>
          <t>Einstein tensor</t>
        </is>
      </c>
      <c r="G98" s="15" t="inlineStr">
        <is>
          <t>SOURCE-CODED</t>
        </is>
      </c>
      <c r="H98" s="15" t="inlineStr">
        <is>
          <t>C3</t>
        </is>
      </c>
      <c r="I98" s="15" t="inlineStr">
        <is>
          <t>SOURCE-REGISTERED</t>
        </is>
      </c>
      <c r="J98" s="15" t="inlineStr">
        <is>
          <t>Exact source text where recovered; otherwise registry-only placeholder.</t>
        </is>
      </c>
    </row>
    <row r="99">
      <c r="A99" s="15" t="inlineStr">
        <is>
          <t>EQ-094</t>
        </is>
      </c>
      <c r="B99" s="15" t="inlineStr">
        <is>
          <t>CV</t>
        </is>
      </c>
      <c r="C99" s="15" t="inlineStr">
        <is>
          <t>Curvature</t>
        </is>
      </c>
      <c r="D99" s="15" t="n">
        <v>6</v>
      </c>
      <c r="E99" s="15" t="inlineStr">
        <is>
          <t>G_{μν}+Λg_{μν}=8πGT_{μν}</t>
        </is>
      </c>
      <c r="F99" s="15" t="inlineStr">
        <is>
          <t>Einstein equations</t>
        </is>
      </c>
      <c r="G99" s="15" t="inlineStr">
        <is>
          <t>SOURCE-CODED</t>
        </is>
      </c>
      <c r="H99" s="15" t="inlineStr">
        <is>
          <t>C3</t>
        </is>
      </c>
      <c r="I99" s="15" t="inlineStr">
        <is>
          <t>SOURCE-REGISTERED</t>
        </is>
      </c>
      <c r="J99" s="15" t="inlineStr">
        <is>
          <t>Exact source text where recovered; otherwise registry-only placeholder.</t>
        </is>
      </c>
    </row>
    <row r="100">
      <c r="A100" s="15" t="inlineStr">
        <is>
          <t>EQ-095</t>
        </is>
      </c>
      <c r="B100" s="15" t="inlineStr">
        <is>
          <t>CV</t>
        </is>
      </c>
      <c r="C100" s="15" t="inlineStr">
        <is>
          <t>Curvature</t>
        </is>
      </c>
      <c r="D100" s="15" t="n">
        <v>7</v>
      </c>
      <c r="E100" s="15" t="inlineStr">
        <is>
          <t>R_abcdR^abcd</t>
        </is>
      </c>
      <c r="F100" s="15" t="inlineStr">
        <is>
          <t>Kretschmann scalar</t>
        </is>
      </c>
      <c r="G100" s="15" t="inlineStr">
        <is>
          <t>SOURCE-CODED</t>
        </is>
      </c>
      <c r="H100" s="15" t="inlineStr">
        <is>
          <t>C3</t>
        </is>
      </c>
      <c r="I100" s="15" t="inlineStr">
        <is>
          <t>SOURCE-REGISTERED</t>
        </is>
      </c>
      <c r="J100" s="15" t="inlineStr">
        <is>
          <t>Exact source text where recovered; otherwise registry-only placeholder.</t>
        </is>
      </c>
    </row>
    <row r="101">
      <c r="A101" s="15" t="inlineStr">
        <is>
          <t>EQ-096</t>
        </is>
      </c>
      <c r="B101" s="15" t="inlineStr">
        <is>
          <t>CV</t>
        </is>
      </c>
      <c r="C101" s="15" t="inlineStr">
        <is>
          <t>Curvature</t>
        </is>
      </c>
      <c r="D101" s="15" t="n">
        <v>8</v>
      </c>
      <c r="E101" s="15" t="inlineStr">
        <is>
          <t>R_abR^ab</t>
        </is>
      </c>
      <c r="F101" s="15" t="inlineStr">
        <is>
          <t>Ricci squared</t>
        </is>
      </c>
      <c r="G101" s="15" t="inlineStr">
        <is>
          <t>SOURCE-CODED</t>
        </is>
      </c>
      <c r="H101" s="15" t="inlineStr">
        <is>
          <t>C3</t>
        </is>
      </c>
      <c r="I101" s="15" t="inlineStr">
        <is>
          <t>SOURCE-REGISTERED</t>
        </is>
      </c>
      <c r="J101" s="15" t="inlineStr">
        <is>
          <t>Exact source text where recovered; otherwise registry-only placeholder.</t>
        </is>
      </c>
    </row>
    <row r="102">
      <c r="A102" s="15" t="inlineStr">
        <is>
          <t>EQ-097</t>
        </is>
      </c>
      <c r="B102" s="15" t="inlineStr">
        <is>
          <t>CV</t>
        </is>
      </c>
      <c r="C102" s="15" t="inlineStr">
        <is>
          <t>Curvature</t>
        </is>
      </c>
      <c r="D102" s="15" t="n">
        <v>9</v>
      </c>
      <c r="E102" s="15" t="inlineStr">
        <is>
          <t>R²</t>
        </is>
      </c>
      <c r="F102" s="15" t="inlineStr">
        <is>
          <t>Ricci scalar squared</t>
        </is>
      </c>
      <c r="G102" s="15" t="inlineStr">
        <is>
          <t>SOURCE-CODED</t>
        </is>
      </c>
      <c r="H102" s="15" t="inlineStr">
        <is>
          <t>C3</t>
        </is>
      </c>
      <c r="I102" s="15" t="inlineStr">
        <is>
          <t>SOURCE-REGISTERED</t>
        </is>
      </c>
      <c r="J102" s="15" t="inlineStr">
        <is>
          <t>Exact source text where recovered; otherwise registry-only placeholder.</t>
        </is>
      </c>
    </row>
    <row r="103">
      <c r="A103" s="15" t="inlineStr">
        <is>
          <t>EQ-098</t>
        </is>
      </c>
      <c r="B103" s="15" t="inlineStr">
        <is>
          <t>CV</t>
        </is>
      </c>
      <c r="C103" s="15" t="inlineStr">
        <is>
          <t>Curvature</t>
        </is>
      </c>
      <c r="D103" s="15" t="n">
        <v>10</v>
      </c>
      <c r="E103" s="15" t="inlineStr">
        <is>
          <t>C_abcdC^abcd</t>
        </is>
      </c>
      <c r="F103" s="15" t="inlineStr">
        <is>
          <t>Weyl squared</t>
        </is>
      </c>
      <c r="G103" s="15" t="inlineStr">
        <is>
          <t>SOURCE-CODED</t>
        </is>
      </c>
      <c r="H103" s="15" t="inlineStr">
        <is>
          <t>C3</t>
        </is>
      </c>
      <c r="I103" s="15" t="inlineStr">
        <is>
          <t>SOURCE-REGISTERED</t>
        </is>
      </c>
      <c r="J103" s="15" t="inlineStr">
        <is>
          <t>Exact source text where recovered; otherwise registry-only placeholder.</t>
        </is>
      </c>
    </row>
    <row r="104">
      <c r="A104" s="15" t="inlineStr">
        <is>
          <t>EQ-099</t>
        </is>
      </c>
      <c r="B104" s="15" t="inlineStr">
        <is>
          <t>CV</t>
        </is>
      </c>
      <c r="C104" s="15" t="inlineStr">
        <is>
          <t>Curvature</t>
        </is>
      </c>
      <c r="D104" s="15" t="n">
        <v>11</v>
      </c>
      <c r="E104" s="15" t="inlineStr">
        <is>
          <t>∫_MR√|g|d⁴x</t>
        </is>
      </c>
      <c r="F104" s="15" t="inlineStr">
        <is>
          <t>Einstein–Hilbert action</t>
        </is>
      </c>
      <c r="G104" s="15" t="inlineStr">
        <is>
          <t>SOURCE-CODED</t>
        </is>
      </c>
      <c r="H104" s="15" t="inlineStr">
        <is>
          <t>C3</t>
        </is>
      </c>
      <c r="I104" s="15" t="inlineStr">
        <is>
          <t>SOURCE-REGISTERED</t>
        </is>
      </c>
      <c r="J104" s="15" t="inlineStr">
        <is>
          <t>Exact source text where recovered; otherwise registry-only placeholder.</t>
        </is>
      </c>
    </row>
    <row r="105">
      <c r="A105" s="15" t="inlineStr">
        <is>
          <t>EQ-100</t>
        </is>
      </c>
      <c r="B105" s="15" t="inlineStr">
        <is>
          <t>CV</t>
        </is>
      </c>
      <c r="C105" s="15" t="inlineStr">
        <is>
          <t>Curvature</t>
        </is>
      </c>
      <c r="D105" s="15" t="n">
        <v>12</v>
      </c>
      <c r="E105" s="15" t="inlineStr">
        <is>
          <t>√|g|=√|det(g_{μν})|</t>
        </is>
      </c>
      <c r="F105" s="15" t="inlineStr">
        <is>
          <t>Volume element</t>
        </is>
      </c>
      <c r="G105" s="15" t="inlineStr">
        <is>
          <t>SOURCE-CODED</t>
        </is>
      </c>
      <c r="H105" s="15" t="inlineStr">
        <is>
          <t>C3</t>
        </is>
      </c>
      <c r="I105" s="15" t="inlineStr">
        <is>
          <t>SOURCE-REGISTERED</t>
        </is>
      </c>
      <c r="J105" s="15" t="inlineStr">
        <is>
          <t>Exact source text where recovered; otherwise registry-only placeholder.</t>
        </is>
      </c>
    </row>
    <row r="106">
      <c r="A106" s="15" t="inlineStr">
        <is>
          <t>EQ-101</t>
        </is>
      </c>
      <c r="B106" s="15" t="inlineStr">
        <is>
          <t>PH</t>
        </is>
      </c>
      <c r="C106" s="15" t="inlineStr">
        <is>
          <t>Classical Physics</t>
        </is>
      </c>
      <c r="D106" s="15" t="n">
        <v>1</v>
      </c>
      <c r="E106" s="15" t="inlineStr">
        <is>
          <t>∂ρ/∂t+∇·(ρv)=0</t>
        </is>
      </c>
      <c r="F106" s="15" t="inlineStr">
        <is>
          <t>Continuity</t>
        </is>
      </c>
      <c r="G106" s="15" t="inlineStr">
        <is>
          <t>SOURCE-CODED</t>
        </is>
      </c>
      <c r="H106" s="15" t="inlineStr">
        <is>
          <t>C5</t>
        </is>
      </c>
      <c r="I106" s="15" t="inlineStr">
        <is>
          <t>SOURCE-REGISTERED</t>
        </is>
      </c>
      <c r="J106" s="15" t="inlineStr">
        <is>
          <t>Exact source text where recovered; otherwise registry-only placeholder.</t>
        </is>
      </c>
    </row>
    <row r="107">
      <c r="A107" s="15" t="inlineStr">
        <is>
          <t>EQ-102</t>
        </is>
      </c>
      <c r="B107" s="15" t="inlineStr">
        <is>
          <t>PH</t>
        </is>
      </c>
      <c r="C107" s="15" t="inlineStr">
        <is>
          <t>Classical Physics</t>
        </is>
      </c>
      <c r="D107" s="15" t="n">
        <v>2</v>
      </c>
      <c r="E107" s="15" t="inlineStr">
        <is>
          <t>∂φ/∂t=D∇²φ</t>
        </is>
      </c>
      <c r="F107" s="15" t="inlineStr">
        <is>
          <t>Diffusion</t>
        </is>
      </c>
      <c r="G107" s="15" t="inlineStr">
        <is>
          <t>SOURCE-CODED</t>
        </is>
      </c>
      <c r="H107" s="15" t="inlineStr">
        <is>
          <t>C5</t>
        </is>
      </c>
      <c r="I107" s="15" t="inlineStr">
        <is>
          <t>SOURCE-REGISTERED</t>
        </is>
      </c>
      <c r="J107" s="15" t="inlineStr">
        <is>
          <t>Exact source text where recovered; otherwise registry-only placeholder.</t>
        </is>
      </c>
    </row>
    <row r="108">
      <c r="A108" s="15" t="inlineStr">
        <is>
          <t>EQ-103</t>
        </is>
      </c>
      <c r="B108" s="15" t="inlineStr">
        <is>
          <t>PH</t>
        </is>
      </c>
      <c r="C108" s="15" t="inlineStr">
        <is>
          <t>Classical Physics</t>
        </is>
      </c>
      <c r="D108" s="15" t="n">
        <v>3</v>
      </c>
      <c r="E108" s="15" t="inlineStr">
        <is>
          <t>∂φ/∂t=D∇²φ+R(φ)</t>
        </is>
      </c>
      <c r="F108" s="15" t="inlineStr">
        <is>
          <t>Reaction-diffusion</t>
        </is>
      </c>
      <c r="G108" s="15" t="inlineStr">
        <is>
          <t>SOURCE-CODED</t>
        </is>
      </c>
      <c r="H108" s="15" t="inlineStr">
        <is>
          <t>C5</t>
        </is>
      </c>
      <c r="I108" s="15" t="inlineStr">
        <is>
          <t>SOURCE-REGISTERED</t>
        </is>
      </c>
      <c r="J108" s="15" t="inlineStr">
        <is>
          <t>Exact source text where recovered; otherwise registry-only placeholder.</t>
        </is>
      </c>
    </row>
    <row r="109">
      <c r="A109" s="15" t="inlineStr">
        <is>
          <t>EQ-104</t>
        </is>
      </c>
      <c r="B109" s="15" t="inlineStr">
        <is>
          <t>PH</t>
        </is>
      </c>
      <c r="C109" s="15" t="inlineStr">
        <is>
          <t>Classical Physics</t>
        </is>
      </c>
      <c r="D109" s="15" t="n">
        <v>4</v>
      </c>
      <c r="E109" s="15" t="inlineStr">
        <is>
          <t>ρ(∂u/∂t+u·∇u)=−∇p+μ∇²u+f</t>
        </is>
      </c>
      <c r="F109" s="15" t="inlineStr">
        <is>
          <t>Navier-Stokes</t>
        </is>
      </c>
      <c r="G109" s="15" t="inlineStr">
        <is>
          <t>SOURCE-CODED</t>
        </is>
      </c>
      <c r="H109" s="15" t="inlineStr">
        <is>
          <t>C5</t>
        </is>
      </c>
      <c r="I109" s="15" t="inlineStr">
        <is>
          <t>SOURCE-REGISTERED</t>
        </is>
      </c>
      <c r="J109" s="15" t="inlineStr">
        <is>
          <t>Exact source text where recovered; otherwise registry-only placeholder.</t>
        </is>
      </c>
    </row>
    <row r="110">
      <c r="A110" s="15" t="inlineStr">
        <is>
          <t>EQ-105</t>
        </is>
      </c>
      <c r="B110" s="15" t="inlineStr">
        <is>
          <t>PH</t>
        </is>
      </c>
      <c r="C110" s="15" t="inlineStr">
        <is>
          <t>Classical Physics</t>
        </is>
      </c>
      <c r="D110" s="15" t="n">
        <v>5</v>
      </c>
      <c r="E110" s="15" t="inlineStr">
        <is>
          <t>∇·E=ρ/ε₀</t>
        </is>
      </c>
      <c r="F110" s="15" t="inlineStr">
        <is>
          <t>Gauss electric</t>
        </is>
      </c>
      <c r="G110" s="15" t="inlineStr">
        <is>
          <t>SOURCE-CODED</t>
        </is>
      </c>
      <c r="H110" s="15" t="inlineStr">
        <is>
          <t>C5</t>
        </is>
      </c>
      <c r="I110" s="15" t="inlineStr">
        <is>
          <t>SOURCE-REGISTERED</t>
        </is>
      </c>
      <c r="J110" s="15" t="inlineStr">
        <is>
          <t>Exact source text where recovered; otherwise registry-only placeholder.</t>
        </is>
      </c>
    </row>
    <row r="111">
      <c r="A111" s="15" t="inlineStr">
        <is>
          <t>EQ-106</t>
        </is>
      </c>
      <c r="B111" s="15" t="inlineStr">
        <is>
          <t>PH</t>
        </is>
      </c>
      <c r="C111" s="15" t="inlineStr">
        <is>
          <t>Classical Physics</t>
        </is>
      </c>
      <c r="D111" s="15" t="n">
        <v>6</v>
      </c>
      <c r="E111" s="15" t="inlineStr">
        <is>
          <t>∇·B=0</t>
        </is>
      </c>
      <c r="F111" s="15" t="inlineStr">
        <is>
          <t>Gauss magnetic</t>
        </is>
      </c>
      <c r="G111" s="15" t="inlineStr">
        <is>
          <t>SOURCE-CODED</t>
        </is>
      </c>
      <c r="H111" s="15" t="inlineStr">
        <is>
          <t>C5</t>
        </is>
      </c>
      <c r="I111" s="15" t="inlineStr">
        <is>
          <t>SOURCE-REGISTERED</t>
        </is>
      </c>
      <c r="J111" s="15" t="inlineStr">
        <is>
          <t>Exact source text where recovered; otherwise registry-only placeholder.</t>
        </is>
      </c>
    </row>
    <row r="112">
      <c r="A112" s="15" t="inlineStr">
        <is>
          <t>EQ-107</t>
        </is>
      </c>
      <c r="B112" s="15" t="inlineStr">
        <is>
          <t>PH</t>
        </is>
      </c>
      <c r="C112" s="15" t="inlineStr">
        <is>
          <t>Classical Physics</t>
        </is>
      </c>
      <c r="D112" s="15" t="n">
        <v>7</v>
      </c>
      <c r="E112" s="15" t="inlineStr">
        <is>
          <t>∇×E=−∂B/∂t</t>
        </is>
      </c>
      <c r="F112" s="15" t="inlineStr">
        <is>
          <t>Faraday</t>
        </is>
      </c>
      <c r="G112" s="15" t="inlineStr">
        <is>
          <t>SOURCE-CODED</t>
        </is>
      </c>
      <c r="H112" s="15" t="inlineStr">
        <is>
          <t>C5</t>
        </is>
      </c>
      <c r="I112" s="15" t="inlineStr">
        <is>
          <t>SOURCE-REGISTERED</t>
        </is>
      </c>
      <c r="J112" s="15" t="inlineStr">
        <is>
          <t>Exact source text where recovered; otherwise registry-only placeholder.</t>
        </is>
      </c>
    </row>
    <row r="113">
      <c r="A113" s="15" t="inlineStr">
        <is>
          <t>EQ-108</t>
        </is>
      </c>
      <c r="B113" s="15" t="inlineStr">
        <is>
          <t>PH</t>
        </is>
      </c>
      <c r="C113" s="15" t="inlineStr">
        <is>
          <t>Classical Physics</t>
        </is>
      </c>
      <c r="D113" s="15" t="n">
        <v>8</v>
      </c>
      <c r="E113" s="15" t="inlineStr">
        <is>
          <t>∇×B=μ₀J+μ₀ε₀∂E/∂t</t>
        </is>
      </c>
      <c r="F113" s="15" t="inlineStr">
        <is>
          <t>Ampère-Maxwell</t>
        </is>
      </c>
      <c r="G113" s="15" t="inlineStr">
        <is>
          <t>SOURCE-CODED</t>
        </is>
      </c>
      <c r="H113" s="15" t="inlineStr">
        <is>
          <t>C5</t>
        </is>
      </c>
      <c r="I113" s="15" t="inlineStr">
        <is>
          <t>SOURCE-REGISTERED</t>
        </is>
      </c>
      <c r="J113" s="15" t="inlineStr">
        <is>
          <t>Exact source text where recovered; otherwise registry-only placeholder.</t>
        </is>
      </c>
    </row>
    <row r="114">
      <c r="A114" s="15" t="inlineStr">
        <is>
          <t>EQ-109</t>
        </is>
      </c>
      <c r="B114" s="15" t="inlineStr">
        <is>
          <t>PH</t>
        </is>
      </c>
      <c r="C114" s="15" t="inlineStr">
        <is>
          <t>Classical Physics</t>
        </is>
      </c>
      <c r="D114" s="15" t="n">
        <v>9</v>
      </c>
      <c r="E114" s="15" t="inlineStr">
        <is>
          <t>∇p</t>
        </is>
      </c>
      <c r="F114" s="15" t="inlineStr">
        <is>
          <t>Pressure gradient</t>
        </is>
      </c>
      <c r="G114" s="15" t="inlineStr">
        <is>
          <t>SOURCE-CODED</t>
        </is>
      </c>
      <c r="H114" s="15" t="inlineStr">
        <is>
          <t>C5</t>
        </is>
      </c>
      <c r="I114" s="15" t="inlineStr">
        <is>
          <t>SOURCE-REGISTERED</t>
        </is>
      </c>
      <c r="J114" s="15" t="inlineStr">
        <is>
          <t>Exact source text where recovered; otherwise registry-only placeholder.</t>
        </is>
      </c>
    </row>
    <row r="115">
      <c r="A115" s="15" t="inlineStr">
        <is>
          <t>EQ-110</t>
        </is>
      </c>
      <c r="B115" s="15" t="inlineStr">
        <is>
          <t>PH</t>
        </is>
      </c>
      <c r="C115" s="15" t="inlineStr">
        <is>
          <t>Classical Physics</t>
        </is>
      </c>
      <c r="D115" s="15" t="n">
        <v>10</v>
      </c>
      <c r="E115" s="15" t="inlineStr">
        <is>
          <t>∇T</t>
        </is>
      </c>
      <c r="F115" s="15" t="inlineStr">
        <is>
          <t>Temperature gradient</t>
        </is>
      </c>
      <c r="G115" s="15" t="inlineStr">
        <is>
          <t>SOURCE-CODED</t>
        </is>
      </c>
      <c r="H115" s="15" t="inlineStr">
        <is>
          <t>C5</t>
        </is>
      </c>
      <c r="I115" s="15" t="inlineStr">
        <is>
          <t>SOURCE-REGISTERED</t>
        </is>
      </c>
      <c r="J115" s="15" t="inlineStr">
        <is>
          <t>Exact source text where recovered; otherwise registry-only placeholder.</t>
        </is>
      </c>
    </row>
    <row r="116">
      <c r="A116" s="15" t="inlineStr">
        <is>
          <t>EQ-111</t>
        </is>
      </c>
      <c r="B116" s="15" t="inlineStr">
        <is>
          <t>PH</t>
        </is>
      </c>
      <c r="C116" s="15" t="inlineStr">
        <is>
          <t>Classical Physics</t>
        </is>
      </c>
      <c r="D116" s="15" t="n">
        <v>11</v>
      </c>
      <c r="E116" s="15" t="inlineStr">
        <is>
          <t>∇μ</t>
        </is>
      </c>
      <c r="F116" s="15" t="inlineStr">
        <is>
          <t>Chemical gradient</t>
        </is>
      </c>
      <c r="G116" s="15" t="inlineStr">
        <is>
          <t>SOURCE-CODED</t>
        </is>
      </c>
      <c r="H116" s="15" t="inlineStr">
        <is>
          <t>C5</t>
        </is>
      </c>
      <c r="I116" s="15" t="inlineStr">
        <is>
          <t>SOURCE-REGISTERED</t>
        </is>
      </c>
      <c r="J116" s="15" t="inlineStr">
        <is>
          <t>Exact source text where recovered; otherwise registry-only placeholder.</t>
        </is>
      </c>
    </row>
    <row r="117">
      <c r="A117" s="15" t="inlineStr">
        <is>
          <t>EQ-112</t>
        </is>
      </c>
      <c r="B117" s="15" t="inlineStr">
        <is>
          <t>PH</t>
        </is>
      </c>
      <c r="C117" s="15" t="inlineStr">
        <is>
          <t>Classical Physics</t>
        </is>
      </c>
      <c r="D117" s="15" t="n">
        <v>12</v>
      </c>
      <c r="E117" s="15" t="inlineStr">
        <is>
          <t>∇φ</t>
        </is>
      </c>
      <c r="F117" s="15" t="inlineStr">
        <is>
          <t>Field gradient</t>
        </is>
      </c>
      <c r="G117" s="15" t="inlineStr">
        <is>
          <t>SOURCE-CODED</t>
        </is>
      </c>
      <c r="H117" s="15" t="inlineStr">
        <is>
          <t>C5</t>
        </is>
      </c>
      <c r="I117" s="15" t="inlineStr">
        <is>
          <t>SOURCE-REGISTERED</t>
        </is>
      </c>
      <c r="J117" s="15" t="inlineStr">
        <is>
          <t>Exact source text where recovered; otherwise registry-only placeholder.</t>
        </is>
      </c>
    </row>
    <row r="118">
      <c r="A118" s="15" t="inlineStr">
        <is>
          <t>EQ-113</t>
        </is>
      </c>
      <c r="B118" s="15" t="inlineStr">
        <is>
          <t>PH</t>
        </is>
      </c>
      <c r="C118" s="15" t="inlineStr">
        <is>
          <t>Classical Physics</t>
        </is>
      </c>
      <c r="D118" s="15" t="n">
        <v>13</v>
      </c>
      <c r="E118" s="15" t="inlineStr">
        <is>
          <t>D[Ω]=∇Ω</t>
        </is>
      </c>
      <c r="F118" s="15" t="inlineStr">
        <is>
          <t>Distinction operator</t>
        </is>
      </c>
      <c r="G118" s="15" t="inlineStr">
        <is>
          <t>SOURCE-CODED</t>
        </is>
      </c>
      <c r="H118" s="15" t="inlineStr">
        <is>
          <t>C5</t>
        </is>
      </c>
      <c r="I118" s="15" t="inlineStr">
        <is>
          <t>SOURCE-REGISTERED</t>
        </is>
      </c>
      <c r="J118" s="15" t="inlineStr">
        <is>
          <t>Exact source text where recovered; otherwise registry-only placeholder.</t>
        </is>
      </c>
    </row>
    <row r="119">
      <c r="A119" s="15" t="inlineStr">
        <is>
          <t>EQ-114</t>
        </is>
      </c>
      <c r="B119" s="15" t="inlineStr">
        <is>
          <t>QM</t>
        </is>
      </c>
      <c r="C119" s="15" t="inlineStr">
        <is>
          <t>QM / Thermodynamics</t>
        </is>
      </c>
      <c r="D119" s="15" t="n">
        <v>1</v>
      </c>
      <c r="E119" s="15" t="inlineStr">
        <is>
          <t>iℏ∂ψ/∂t=Ĥψ</t>
        </is>
      </c>
      <c r="F119" s="15" t="inlineStr">
        <is>
          <t>Schrödinger</t>
        </is>
      </c>
      <c r="G119" s="15" t="inlineStr">
        <is>
          <t>SOURCE-CODED</t>
        </is>
      </c>
      <c r="H119" s="15" t="inlineStr">
        <is>
          <t>C6</t>
        </is>
      </c>
      <c r="I119" s="15" t="inlineStr">
        <is>
          <t>SOURCE-REGISTERED</t>
        </is>
      </c>
      <c r="J119" s="15" t="inlineStr">
        <is>
          <t>Exact source text where recovered; otherwise registry-only placeholder.</t>
        </is>
      </c>
    </row>
    <row r="120">
      <c r="A120" s="15" t="inlineStr">
        <is>
          <t>EQ-115</t>
        </is>
      </c>
      <c r="B120" s="15" t="inlineStr">
        <is>
          <t>QM</t>
        </is>
      </c>
      <c r="C120" s="15" t="inlineStr">
        <is>
          <t>QM / Thermodynamics</t>
        </is>
      </c>
      <c r="D120" s="15" t="n">
        <v>2</v>
      </c>
      <c r="E120" s="15" t="inlineStr">
        <is>
          <t>Ĥψ=Eψ</t>
        </is>
      </c>
      <c r="F120" s="15" t="inlineStr">
        <is>
          <t>Energy eigenvalue</t>
        </is>
      </c>
      <c r="G120" s="15" t="inlineStr">
        <is>
          <t>SOURCE-CODED</t>
        </is>
      </c>
      <c r="H120" s="15" t="inlineStr">
        <is>
          <t>C6</t>
        </is>
      </c>
      <c r="I120" s="15" t="inlineStr">
        <is>
          <t>SOURCE-REGISTERED</t>
        </is>
      </c>
      <c r="J120" s="15" t="inlineStr">
        <is>
          <t>Exact source text where recovered; otherwise registry-only placeholder.</t>
        </is>
      </c>
    </row>
    <row r="121">
      <c r="A121" s="15" t="inlineStr">
        <is>
          <t>EQ-116</t>
        </is>
      </c>
      <c r="B121" s="15" t="inlineStr">
        <is>
          <t>QM</t>
        </is>
      </c>
      <c r="C121" s="15" t="inlineStr">
        <is>
          <t>QM / Thermodynamics</t>
        </is>
      </c>
      <c r="D121" s="15" t="n">
        <v>3</v>
      </c>
      <c r="E121" s="15" t="inlineStr">
        <is>
          <t>S=k_BlnW</t>
        </is>
      </c>
      <c r="F121" s="15" t="inlineStr">
        <is>
          <t>Boltzmann entropy</t>
        </is>
      </c>
      <c r="G121" s="15" t="inlineStr">
        <is>
          <t>SOURCE-CODED</t>
        </is>
      </c>
      <c r="H121" s="15" t="inlineStr">
        <is>
          <t>C6</t>
        </is>
      </c>
      <c r="I121" s="15" t="inlineStr">
        <is>
          <t>SOURCE-REGISTERED</t>
        </is>
      </c>
      <c r="J121" s="15" t="inlineStr">
        <is>
          <t>Exact source text where recovered; otherwise registry-only placeholder.</t>
        </is>
      </c>
    </row>
    <row r="122">
      <c r="A122" s="15" t="inlineStr">
        <is>
          <t>EQ-117</t>
        </is>
      </c>
      <c r="B122" s="15" t="inlineStr">
        <is>
          <t>QM</t>
        </is>
      </c>
      <c r="C122" s="15" t="inlineStr">
        <is>
          <t>QM / Thermodynamics</t>
        </is>
      </c>
      <c r="D122" s="15" t="n">
        <v>4</v>
      </c>
      <c r="E122" s="15" t="inlineStr">
        <is>
          <t>dS≥δQ/T</t>
        </is>
      </c>
      <c r="F122" s="15" t="inlineStr">
        <is>
          <t>Clausius</t>
        </is>
      </c>
      <c r="G122" s="15" t="inlineStr">
        <is>
          <t>SOURCE-CODED</t>
        </is>
      </c>
      <c r="H122" s="15" t="inlineStr">
        <is>
          <t>C6</t>
        </is>
      </c>
      <c r="I122" s="15" t="inlineStr">
        <is>
          <t>SOURCE-REGISTERED</t>
        </is>
      </c>
      <c r="J122" s="15" t="inlineStr">
        <is>
          <t>Exact source text where recovered; otherwise registry-only placeholder.</t>
        </is>
      </c>
    </row>
    <row r="123">
      <c r="A123" s="15" t="inlineStr">
        <is>
          <t>EQ-118</t>
        </is>
      </c>
      <c r="B123" s="15" t="inlineStr">
        <is>
          <t>QM</t>
        </is>
      </c>
      <c r="C123" s="15" t="inlineStr">
        <is>
          <t>QM / Thermodynamics</t>
        </is>
      </c>
      <c r="D123" s="15" t="n">
        <v>5</v>
      </c>
      <c r="E123" s="15" t="inlineStr">
        <is>
          <t>F=U−TS</t>
        </is>
      </c>
      <c r="F123" s="15" t="inlineStr">
        <is>
          <t>Helmholtz free energy</t>
        </is>
      </c>
      <c r="G123" s="15" t="inlineStr">
        <is>
          <t>SOURCE-CODED</t>
        </is>
      </c>
      <c r="H123" s="15" t="inlineStr">
        <is>
          <t>C6</t>
        </is>
      </c>
      <c r="I123" s="15" t="inlineStr">
        <is>
          <t>SOURCE-REGISTERED</t>
        </is>
      </c>
      <c r="J123" s="15" t="inlineStr">
        <is>
          <t>Exact source text where recovered; otherwise registry-only placeholder.</t>
        </is>
      </c>
    </row>
    <row r="124">
      <c r="A124" s="15" t="inlineStr">
        <is>
          <t>EQ-119</t>
        </is>
      </c>
      <c r="B124" s="15" t="inlineStr">
        <is>
          <t>QM</t>
        </is>
      </c>
      <c r="C124" s="15" t="inlineStr">
        <is>
          <t>QM / Thermodynamics</t>
        </is>
      </c>
      <c r="D124" s="15" t="n">
        <v>6</v>
      </c>
      <c r="E124" s="15" t="inlineStr"/>
      <c r="F124" s="15" t="inlineStr"/>
      <c r="G124" s="15" t="inlineStr">
        <is>
          <t>SOURCE-CODED</t>
        </is>
      </c>
      <c r="H124" s="15" t="inlineStr">
        <is>
          <t>C6</t>
        </is>
      </c>
      <c r="I124" s="15" t="inlineStr">
        <is>
          <t>SOURCE-REGISTERED / FORMULA TEXT NOT RETRIEVED</t>
        </is>
      </c>
      <c r="J124" s="15" t="inlineStr">
        <is>
          <t>Exact source text where recovered; otherwise registry-only placeholder.</t>
        </is>
      </c>
    </row>
    <row r="125">
      <c r="A125" s="15" t="inlineStr">
        <is>
          <t>EQ-120</t>
        </is>
      </c>
      <c r="B125" s="15" t="inlineStr">
        <is>
          <t>QM</t>
        </is>
      </c>
      <c r="C125" s="15" t="inlineStr">
        <is>
          <t>QM / Thermodynamics</t>
        </is>
      </c>
      <c r="D125" s="15" t="n">
        <v>7</v>
      </c>
      <c r="E125" s="15" t="inlineStr"/>
      <c r="F125" s="15" t="inlineStr"/>
      <c r="G125" s="15" t="inlineStr">
        <is>
          <t>SOURCE-CODED</t>
        </is>
      </c>
      <c r="H125" s="15" t="inlineStr">
        <is>
          <t>C6</t>
        </is>
      </c>
      <c r="I125" s="15" t="inlineStr">
        <is>
          <t>SOURCE-REGISTERED / FORMULA TEXT NOT RETRIEVED</t>
        </is>
      </c>
      <c r="J125" s="15" t="inlineStr">
        <is>
          <t>Exact source text where recovered; otherwise registry-only placeholder.</t>
        </is>
      </c>
    </row>
    <row r="126">
      <c r="A126" s="15" t="inlineStr">
        <is>
          <t>EQ-121</t>
        </is>
      </c>
      <c r="B126" s="15" t="inlineStr">
        <is>
          <t>QM</t>
        </is>
      </c>
      <c r="C126" s="15" t="inlineStr">
        <is>
          <t>QM / Thermodynamics</t>
        </is>
      </c>
      <c r="D126" s="15" t="n">
        <v>8</v>
      </c>
      <c r="E126" s="15" t="inlineStr"/>
      <c r="F126" s="15" t="inlineStr"/>
      <c r="G126" s="15" t="inlineStr">
        <is>
          <t>SOURCE-CODED</t>
        </is>
      </c>
      <c r="H126" s="15" t="inlineStr">
        <is>
          <t>C6</t>
        </is>
      </c>
      <c r="I126" s="15" t="inlineStr">
        <is>
          <t>SOURCE-REGISTERED / FORMULA TEXT NOT RETRIEVED</t>
        </is>
      </c>
      <c r="J126" s="15" t="inlineStr">
        <is>
          <t>Exact source text where recovered; otherwise registry-only placeholder.</t>
        </is>
      </c>
    </row>
    <row r="127">
      <c r="A127" s="15" t="inlineStr">
        <is>
          <t>EQ-122</t>
        </is>
      </c>
      <c r="B127" s="15" t="inlineStr">
        <is>
          <t>QM</t>
        </is>
      </c>
      <c r="C127" s="15" t="inlineStr">
        <is>
          <t>QM / Thermodynamics</t>
        </is>
      </c>
      <c r="D127" s="15" t="n">
        <v>9</v>
      </c>
      <c r="E127" s="15" t="inlineStr"/>
      <c r="F127" s="15" t="inlineStr"/>
      <c r="G127" s="15" t="inlineStr">
        <is>
          <t>SOURCE-CODED</t>
        </is>
      </c>
      <c r="H127" s="15" t="inlineStr">
        <is>
          <t>C6</t>
        </is>
      </c>
      <c r="I127" s="15" t="inlineStr">
        <is>
          <t>SOURCE-REGISTERED / FORMULA TEXT NOT RETRIEVED</t>
        </is>
      </c>
      <c r="J127" s="15" t="inlineStr">
        <is>
          <t>Exact source text where recovered; otherwise registry-only placeholder.</t>
        </is>
      </c>
    </row>
    <row r="128">
      <c r="A128" s="15" t="inlineStr">
        <is>
          <t>EQ-123</t>
        </is>
      </c>
      <c r="B128" s="15" t="inlineStr">
        <is>
          <t>QM</t>
        </is>
      </c>
      <c r="C128" s="15" t="inlineStr">
        <is>
          <t>QM / Thermodynamics</t>
        </is>
      </c>
      <c r="D128" s="15" t="n">
        <v>10</v>
      </c>
      <c r="E128" s="15" t="inlineStr"/>
      <c r="F128" s="15" t="inlineStr"/>
      <c r="G128" s="15" t="inlineStr">
        <is>
          <t>SOURCE-CODED</t>
        </is>
      </c>
      <c r="H128" s="15" t="inlineStr">
        <is>
          <t>C6</t>
        </is>
      </c>
      <c r="I128" s="15" t="inlineStr">
        <is>
          <t>SOURCE-REGISTERED / FORMULA TEXT NOT RETRIEVED</t>
        </is>
      </c>
      <c r="J128" s="15" t="inlineStr">
        <is>
          <t>Exact source text where recovered; otherwise registry-only placeholder.</t>
        </is>
      </c>
    </row>
    <row r="129">
      <c r="A129" s="15" t="inlineStr">
        <is>
          <t>EQ-124</t>
        </is>
      </c>
      <c r="B129" s="15" t="inlineStr">
        <is>
          <t>LH</t>
        </is>
      </c>
      <c r="C129" s="15" t="inlineStr">
        <is>
          <t>Lagrangian / Hamiltonian</t>
        </is>
      </c>
      <c r="D129" s="15" t="n">
        <v>1</v>
      </c>
      <c r="E129" s="15" t="inlineStr">
        <is>
          <t>L=T−V</t>
        </is>
      </c>
      <c r="F129" s="15" t="inlineStr">
        <is>
          <t>Lagrangian</t>
        </is>
      </c>
      <c r="G129" s="15" t="inlineStr">
        <is>
          <t>SOURCE-CODED</t>
        </is>
      </c>
      <c r="H129" s="15" t="inlineStr">
        <is>
          <t>C4</t>
        </is>
      </c>
      <c r="I129" s="15" t="inlineStr">
        <is>
          <t>SOURCE-REGISTERED</t>
        </is>
      </c>
      <c r="J129" s="15" t="inlineStr">
        <is>
          <t>Exact source text where recovered; otherwise registry-only placeholder.</t>
        </is>
      </c>
    </row>
    <row r="130">
      <c r="A130" s="15" t="inlineStr">
        <is>
          <t>EQ-125</t>
        </is>
      </c>
      <c r="B130" s="15" t="inlineStr">
        <is>
          <t>LH</t>
        </is>
      </c>
      <c r="C130" s="15" t="inlineStr">
        <is>
          <t>Lagrangian / Hamiltonian</t>
        </is>
      </c>
      <c r="D130" s="15" t="n">
        <v>2</v>
      </c>
      <c r="E130" s="15" t="inlineStr">
        <is>
          <t>p_i=∂L/∂q̇_i</t>
        </is>
      </c>
      <c r="F130" s="15" t="inlineStr">
        <is>
          <t>Canonical momentum</t>
        </is>
      </c>
      <c r="G130" s="15" t="inlineStr">
        <is>
          <t>SOURCE-CODED</t>
        </is>
      </c>
      <c r="H130" s="15" t="inlineStr">
        <is>
          <t>C4</t>
        </is>
      </c>
      <c r="I130" s="15" t="inlineStr">
        <is>
          <t>SOURCE-REGISTERED</t>
        </is>
      </c>
      <c r="J130" s="15" t="inlineStr">
        <is>
          <t>Exact source text where recovered; otherwise registry-only placeholder.</t>
        </is>
      </c>
    </row>
    <row r="131">
      <c r="A131" s="15" t="inlineStr">
        <is>
          <t>EQ-126</t>
        </is>
      </c>
      <c r="B131" s="15" t="inlineStr">
        <is>
          <t>LH</t>
        </is>
      </c>
      <c r="C131" s="15" t="inlineStr">
        <is>
          <t>Lagrangian / Hamiltonian</t>
        </is>
      </c>
      <c r="D131" s="15" t="n">
        <v>3</v>
      </c>
      <c r="E131" s="15" t="inlineStr">
        <is>
          <t>H=Σ_ip_iq̇_i−L</t>
        </is>
      </c>
      <c r="F131" s="15" t="inlineStr">
        <is>
          <t>Hamiltonian</t>
        </is>
      </c>
      <c r="G131" s="15" t="inlineStr">
        <is>
          <t>SOURCE-CODED</t>
        </is>
      </c>
      <c r="H131" s="15" t="inlineStr">
        <is>
          <t>C4</t>
        </is>
      </c>
      <c r="I131" s="15" t="inlineStr">
        <is>
          <t>SOURCE-REGISTERED</t>
        </is>
      </c>
      <c r="J131" s="15" t="inlineStr">
        <is>
          <t>Exact source text where recovered; otherwise registry-only placeholder.</t>
        </is>
      </c>
    </row>
    <row r="132">
      <c r="A132" s="15" t="inlineStr">
        <is>
          <t>EQ-127</t>
        </is>
      </c>
      <c r="B132" s="15" t="inlineStr">
        <is>
          <t>LH</t>
        </is>
      </c>
      <c r="C132" s="15" t="inlineStr">
        <is>
          <t>Lagrangian / Hamiltonian</t>
        </is>
      </c>
      <c r="D132" s="15" t="n">
        <v>4</v>
      </c>
      <c r="E132" s="15" t="inlineStr">
        <is>
          <t>q̇_i=∂H/∂p_i</t>
        </is>
      </c>
      <c r="F132" s="15" t="inlineStr">
        <is>
          <t>Hamilton equation</t>
        </is>
      </c>
      <c r="G132" s="15" t="inlineStr">
        <is>
          <t>SOURCE-CODED</t>
        </is>
      </c>
      <c r="H132" s="15" t="inlineStr">
        <is>
          <t>C4</t>
        </is>
      </c>
      <c r="I132" s="15" t="inlineStr">
        <is>
          <t>SOURCE-REGISTERED</t>
        </is>
      </c>
      <c r="J132" s="15" t="inlineStr">
        <is>
          <t>Exact source text where recovered; otherwise registry-only placeholder.</t>
        </is>
      </c>
    </row>
    <row r="133">
      <c r="A133" s="15" t="inlineStr">
        <is>
          <t>EQ-128</t>
        </is>
      </c>
      <c r="B133" s="15" t="inlineStr">
        <is>
          <t>LH</t>
        </is>
      </c>
      <c r="C133" s="15" t="inlineStr">
        <is>
          <t>Lagrangian / Hamiltonian</t>
        </is>
      </c>
      <c r="D133" s="15" t="n">
        <v>5</v>
      </c>
      <c r="E133" s="15" t="inlineStr">
        <is>
          <t>ṗ_i=−∂H/∂q_i</t>
        </is>
      </c>
      <c r="F133" s="15" t="inlineStr">
        <is>
          <t>Hamilton equation</t>
        </is>
      </c>
      <c r="G133" s="15" t="inlineStr">
        <is>
          <t>SOURCE-CODED</t>
        </is>
      </c>
      <c r="H133" s="15" t="inlineStr">
        <is>
          <t>C4</t>
        </is>
      </c>
      <c r="I133" s="15" t="inlineStr">
        <is>
          <t>SOURCE-REGISTERED</t>
        </is>
      </c>
      <c r="J133" s="15" t="inlineStr">
        <is>
          <t>Exact source text where recovered; otherwise registry-only placeholder.</t>
        </is>
      </c>
    </row>
    <row r="134">
      <c r="A134" s="15" t="inlineStr">
        <is>
          <t>EQ-129</t>
        </is>
      </c>
      <c r="B134" s="15" t="inlineStr">
        <is>
          <t>LH</t>
        </is>
      </c>
      <c r="C134" s="15" t="inlineStr">
        <is>
          <t>Lagrangian / Hamiltonian</t>
        </is>
      </c>
      <c r="D134" s="15" t="n">
        <v>6</v>
      </c>
      <c r="E134" s="15" t="inlineStr">
        <is>
          <t>ω=Σ_idq_i∧dp_i</t>
        </is>
      </c>
      <c r="F134" s="15" t="inlineStr">
        <is>
          <t>Symplectic form</t>
        </is>
      </c>
      <c r="G134" s="15" t="inlineStr">
        <is>
          <t>SOURCE-CODED</t>
        </is>
      </c>
      <c r="H134" s="15" t="inlineStr">
        <is>
          <t>C4</t>
        </is>
      </c>
      <c r="I134" s="15" t="inlineStr">
        <is>
          <t>SOURCE-REGISTERED</t>
        </is>
      </c>
      <c r="J134" s="15" t="inlineStr">
        <is>
          <t>Exact source text where recovered; otherwise registry-only placeholder.</t>
        </is>
      </c>
    </row>
    <row r="135">
      <c r="A135" s="15" t="inlineStr">
        <is>
          <t>EQ-130</t>
        </is>
      </c>
      <c r="B135" s="15" t="inlineStr">
        <is>
          <t>LH</t>
        </is>
      </c>
      <c r="C135" s="15" t="inlineStr">
        <is>
          <t>Lagrangian / Hamiltonian</t>
        </is>
      </c>
      <c r="D135" s="15" t="n">
        <v>7</v>
      </c>
      <c r="E135" s="15" t="inlineStr">
        <is>
          <t>{q_i,p_j}=δ_ij</t>
        </is>
      </c>
      <c r="F135" s="15" t="inlineStr">
        <is>
          <t>Poisson algebra</t>
        </is>
      </c>
      <c r="G135" s="15" t="inlineStr">
        <is>
          <t>SOURCE-CODED</t>
        </is>
      </c>
      <c r="H135" s="15" t="inlineStr">
        <is>
          <t>C4</t>
        </is>
      </c>
      <c r="I135" s="15" t="inlineStr">
        <is>
          <t>SOURCE-REGISTERED</t>
        </is>
      </c>
      <c r="J135" s="15" t="inlineStr">
        <is>
          <t>Exact source text where recovered; otherwise registry-only placeholder.</t>
        </is>
      </c>
    </row>
    <row r="136">
      <c r="A136" s="15" t="inlineStr">
        <is>
          <t>EQ-131</t>
        </is>
      </c>
      <c r="B136" s="15" t="inlineStr">
        <is>
          <t>LH</t>
        </is>
      </c>
      <c r="C136" s="15" t="inlineStr">
        <is>
          <t>Lagrangian / Hamiltonian</t>
        </is>
      </c>
      <c r="D136" s="15" t="n">
        <v>8</v>
      </c>
      <c r="E136" s="15" t="inlineStr">
        <is>
          <t>dF/dt={F,H}+∂F/∂t</t>
        </is>
      </c>
      <c r="F136" s="15" t="inlineStr">
        <is>
          <t>Hamiltonian evolution</t>
        </is>
      </c>
      <c r="G136" s="15" t="inlineStr">
        <is>
          <t>SOURCE-CODED</t>
        </is>
      </c>
      <c r="H136" s="15" t="inlineStr">
        <is>
          <t>C4</t>
        </is>
      </c>
      <c r="I136" s="15" t="inlineStr">
        <is>
          <t>SOURCE-REGISTERED</t>
        </is>
      </c>
      <c r="J136" s="15" t="inlineStr">
        <is>
          <t>Exact source text where recovered; otherwise registry-only placeholder.</t>
        </is>
      </c>
    </row>
    <row r="137">
      <c r="A137" s="15" t="inlineStr">
        <is>
          <t>EQ-132</t>
        </is>
      </c>
      <c r="B137" s="15" t="inlineStr">
        <is>
          <t>OD</t>
        </is>
      </c>
      <c r="C137" s="15" t="inlineStr">
        <is>
          <t>Organizational Dynamics</t>
        </is>
      </c>
      <c r="D137" s="15" t="n">
        <v>1</v>
      </c>
      <c r="E137" s="15" t="inlineStr"/>
      <c r="F137" s="15" t="inlineStr"/>
      <c r="G137" s="15" t="inlineStr">
        <is>
          <t>SOURCE-CODED</t>
        </is>
      </c>
      <c r="H137" s="15" t="inlineStr">
        <is>
          <t>C1</t>
        </is>
      </c>
      <c r="I137" s="15" t="inlineStr">
        <is>
          <t>SOURCE-REGISTERED / FORMULA TEXT NOT RETRIEVED</t>
        </is>
      </c>
      <c r="J137" s="15" t="inlineStr">
        <is>
          <t>Exact source text where recovered; otherwise registry-only placeholder.</t>
        </is>
      </c>
    </row>
    <row r="138">
      <c r="A138" s="15" t="inlineStr">
        <is>
          <t>EQ-133</t>
        </is>
      </c>
      <c r="B138" s="15" t="inlineStr">
        <is>
          <t>OD</t>
        </is>
      </c>
      <c r="C138" s="15" t="inlineStr">
        <is>
          <t>Organizational Dynamics</t>
        </is>
      </c>
      <c r="D138" s="15" t="n">
        <v>2</v>
      </c>
      <c r="E138" s="15" t="inlineStr"/>
      <c r="F138" s="15" t="inlineStr"/>
      <c r="G138" s="15" t="inlineStr">
        <is>
          <t>SOURCE-CODED</t>
        </is>
      </c>
      <c r="H138" s="15" t="inlineStr">
        <is>
          <t>C1</t>
        </is>
      </c>
      <c r="I138" s="15" t="inlineStr">
        <is>
          <t>SOURCE-REGISTERED / FORMULA TEXT NOT RETRIEVED</t>
        </is>
      </c>
      <c r="J138" s="15" t="inlineStr">
        <is>
          <t>Exact source text where recovered; otherwise registry-only placeholder.</t>
        </is>
      </c>
    </row>
    <row r="139">
      <c r="A139" s="15" t="inlineStr">
        <is>
          <t>EQ-134</t>
        </is>
      </c>
      <c r="B139" s="15" t="inlineStr">
        <is>
          <t>OD</t>
        </is>
      </c>
      <c r="C139" s="15" t="inlineStr">
        <is>
          <t>Organizational Dynamics</t>
        </is>
      </c>
      <c r="D139" s="15" t="n">
        <v>3</v>
      </c>
      <c r="E139" s="15" t="inlineStr"/>
      <c r="F139" s="15" t="inlineStr"/>
      <c r="G139" s="15" t="inlineStr">
        <is>
          <t>SOURCE-CODED</t>
        </is>
      </c>
      <c r="H139" s="15" t="inlineStr">
        <is>
          <t>C1</t>
        </is>
      </c>
      <c r="I139" s="15" t="inlineStr">
        <is>
          <t>SOURCE-REGISTERED / FORMULA TEXT NOT RETRIEVED</t>
        </is>
      </c>
      <c r="J139" s="15" t="inlineStr">
        <is>
          <t>Exact source text where recovered; otherwise registry-only placeholder.</t>
        </is>
      </c>
    </row>
    <row r="140">
      <c r="A140" s="15" t="inlineStr">
        <is>
          <t>EQ-135</t>
        </is>
      </c>
      <c r="B140" s="15" t="inlineStr">
        <is>
          <t>OD</t>
        </is>
      </c>
      <c r="C140" s="15" t="inlineStr">
        <is>
          <t>Organizational Dynamics</t>
        </is>
      </c>
      <c r="D140" s="15" t="n">
        <v>4</v>
      </c>
      <c r="E140" s="15" t="inlineStr"/>
      <c r="F140" s="15" t="inlineStr"/>
      <c r="G140" s="15" t="inlineStr">
        <is>
          <t>SOURCE-CODED</t>
        </is>
      </c>
      <c r="H140" s="15" t="inlineStr">
        <is>
          <t>C1</t>
        </is>
      </c>
      <c r="I140" s="15" t="inlineStr">
        <is>
          <t>SOURCE-REGISTERED / FORMULA TEXT NOT RETRIEVED</t>
        </is>
      </c>
      <c r="J140" s="15" t="inlineStr">
        <is>
          <t>Exact source text where recovered; otherwise registry-only placeholder.</t>
        </is>
      </c>
    </row>
    <row r="141">
      <c r="A141" s="15" t="inlineStr">
        <is>
          <t>EQ-136</t>
        </is>
      </c>
      <c r="B141" s="15" t="inlineStr">
        <is>
          <t>OD</t>
        </is>
      </c>
      <c r="C141" s="15" t="inlineStr">
        <is>
          <t>Organizational Dynamics</t>
        </is>
      </c>
      <c r="D141" s="15" t="n">
        <v>5</v>
      </c>
      <c r="E141" s="15" t="inlineStr"/>
      <c r="F141" s="15" t="inlineStr"/>
      <c r="G141" s="15" t="inlineStr">
        <is>
          <t>SOURCE-CODED</t>
        </is>
      </c>
      <c r="H141" s="15" t="inlineStr">
        <is>
          <t>C1</t>
        </is>
      </c>
      <c r="I141" s="15" t="inlineStr">
        <is>
          <t>SOURCE-REGISTERED / FORMULA TEXT NOT RETRIEVED</t>
        </is>
      </c>
      <c r="J141" s="15" t="inlineStr">
        <is>
          <t>Exact source text where recovered; otherwise registry-only placeholder.</t>
        </is>
      </c>
    </row>
    <row r="142">
      <c r="A142" s="15" t="inlineStr">
        <is>
          <t>EQ-137</t>
        </is>
      </c>
      <c r="B142" s="15" t="inlineStr">
        <is>
          <t>OD</t>
        </is>
      </c>
      <c r="C142" s="15" t="inlineStr">
        <is>
          <t>Organizational Dynamics</t>
        </is>
      </c>
      <c r="D142" s="15" t="n">
        <v>6</v>
      </c>
      <c r="E142" s="15" t="inlineStr"/>
      <c r="F142" s="15" t="inlineStr"/>
      <c r="G142" s="15" t="inlineStr">
        <is>
          <t>SOURCE-CODED</t>
        </is>
      </c>
      <c r="H142" s="15" t="inlineStr">
        <is>
          <t>C1</t>
        </is>
      </c>
      <c r="I142" s="15" t="inlineStr">
        <is>
          <t>SOURCE-REGISTERED / FORMULA TEXT NOT RETRIEVED</t>
        </is>
      </c>
      <c r="J142" s="15" t="inlineStr">
        <is>
          <t>Exact source text where recovered; otherwise registry-only placeholder.</t>
        </is>
      </c>
    </row>
    <row r="143">
      <c r="A143" s="15" t="inlineStr">
        <is>
          <t>EQ-138</t>
        </is>
      </c>
      <c r="B143" s="15" t="inlineStr">
        <is>
          <t>OD</t>
        </is>
      </c>
      <c r="C143" s="15" t="inlineStr">
        <is>
          <t>Organizational Dynamics</t>
        </is>
      </c>
      <c r="D143" s="15" t="n">
        <v>7</v>
      </c>
      <c r="E143" s="15" t="inlineStr"/>
      <c r="F143" s="15" t="inlineStr"/>
      <c r="G143" s="15" t="inlineStr">
        <is>
          <t>SOURCE-CODED</t>
        </is>
      </c>
      <c r="H143" s="15" t="inlineStr">
        <is>
          <t>C1</t>
        </is>
      </c>
      <c r="I143" s="15" t="inlineStr">
        <is>
          <t>SOURCE-REGISTERED / FORMULA TEXT NOT RETRIEVED</t>
        </is>
      </c>
      <c r="J143" s="15" t="inlineStr">
        <is>
          <t>Exact source text where recovered; otherwise registry-only placeholder.</t>
        </is>
      </c>
    </row>
    <row r="144">
      <c r="A144" s="15" t="inlineStr">
        <is>
          <t>EQ-139</t>
        </is>
      </c>
      <c r="B144" s="15" t="inlineStr">
        <is>
          <t>OD</t>
        </is>
      </c>
      <c r="C144" s="15" t="inlineStr">
        <is>
          <t>Organizational Dynamics</t>
        </is>
      </c>
      <c r="D144" s="15" t="n">
        <v>8</v>
      </c>
      <c r="E144" s="15" t="inlineStr"/>
      <c r="F144" s="15" t="inlineStr"/>
      <c r="G144" s="15" t="inlineStr">
        <is>
          <t>SOURCE-CODED</t>
        </is>
      </c>
      <c r="H144" s="15" t="inlineStr">
        <is>
          <t>C1</t>
        </is>
      </c>
      <c r="I144" s="15" t="inlineStr">
        <is>
          <t>SOURCE-REGISTERED / FORMULA TEXT NOT RETRIEVED</t>
        </is>
      </c>
      <c r="J144" s="15" t="inlineStr">
        <is>
          <t>Exact source text where recovered; otherwise registry-only placeholder.</t>
        </is>
      </c>
    </row>
    <row r="145">
      <c r="A145" s="15" t="inlineStr">
        <is>
          <t>EQ-140</t>
        </is>
      </c>
      <c r="B145" s="15" t="inlineStr">
        <is>
          <t>OD</t>
        </is>
      </c>
      <c r="C145" s="15" t="inlineStr">
        <is>
          <t>Organizational Dynamics</t>
        </is>
      </c>
      <c r="D145" s="15" t="n">
        <v>9</v>
      </c>
      <c r="E145" s="15" t="inlineStr"/>
      <c r="F145" s="15" t="inlineStr"/>
      <c r="G145" s="15" t="inlineStr">
        <is>
          <t>SOURCE-CODED</t>
        </is>
      </c>
      <c r="H145" s="15" t="inlineStr">
        <is>
          <t>C1</t>
        </is>
      </c>
      <c r="I145" s="15" t="inlineStr">
        <is>
          <t>SOURCE-REGISTERED / FORMULA TEXT NOT RETRIEVED</t>
        </is>
      </c>
      <c r="J145" s="15" t="inlineStr">
        <is>
          <t>Exact source text where recovered; otherwise registry-only placeholder.</t>
        </is>
      </c>
    </row>
    <row r="146">
      <c r="A146" s="15" t="inlineStr">
        <is>
          <t>EQ-141</t>
        </is>
      </c>
      <c r="B146" s="15" t="inlineStr">
        <is>
          <t>OD</t>
        </is>
      </c>
      <c r="C146" s="15" t="inlineStr">
        <is>
          <t>Organizational Dynamics</t>
        </is>
      </c>
      <c r="D146" s="15" t="n">
        <v>10</v>
      </c>
      <c r="E146" s="15" t="inlineStr"/>
      <c r="F146" s="15" t="inlineStr"/>
      <c r="G146" s="15" t="inlineStr">
        <is>
          <t>SOURCE-CODED</t>
        </is>
      </c>
      <c r="H146" s="15" t="inlineStr">
        <is>
          <t>C1</t>
        </is>
      </c>
      <c r="I146" s="15" t="inlineStr">
        <is>
          <t>SOURCE-REGISTERED / FORMULA TEXT NOT RETRIEVED</t>
        </is>
      </c>
      <c r="J146" s="15" t="inlineStr">
        <is>
          <t>Exact source text where recovered; otherwise registry-only placeholder.</t>
        </is>
      </c>
    </row>
    <row r="147">
      <c r="A147" s="15" t="inlineStr">
        <is>
          <t>EQ-142</t>
        </is>
      </c>
      <c r="B147" s="15" t="inlineStr">
        <is>
          <t>OD</t>
        </is>
      </c>
      <c r="C147" s="15" t="inlineStr">
        <is>
          <t>Organizational Dynamics</t>
        </is>
      </c>
      <c r="D147" s="15" t="n">
        <v>11</v>
      </c>
      <c r="E147" s="15" t="inlineStr"/>
      <c r="F147" s="15" t="inlineStr"/>
      <c r="G147" s="15" t="inlineStr">
        <is>
          <t>SOURCE-CODED</t>
        </is>
      </c>
      <c r="H147" s="15" t="inlineStr">
        <is>
          <t>C1</t>
        </is>
      </c>
      <c r="I147" s="15" t="inlineStr">
        <is>
          <t>SOURCE-REGISTERED / FORMULA TEXT NOT RETRIEVED</t>
        </is>
      </c>
      <c r="J147" s="15" t="inlineStr">
        <is>
          <t>Exact source text where recovered; otherwise registry-only placeholder.</t>
        </is>
      </c>
    </row>
    <row r="148">
      <c r="A148" s="15" t="inlineStr">
        <is>
          <t>EQ-143</t>
        </is>
      </c>
      <c r="B148" s="15" t="inlineStr">
        <is>
          <t>OD</t>
        </is>
      </c>
      <c r="C148" s="15" t="inlineStr">
        <is>
          <t>Organizational Dynamics</t>
        </is>
      </c>
      <c r="D148" s="15" t="n">
        <v>12</v>
      </c>
      <c r="E148" s="15" t="inlineStr"/>
      <c r="F148" s="15" t="inlineStr"/>
      <c r="G148" s="15" t="inlineStr">
        <is>
          <t>SOURCE-CODED</t>
        </is>
      </c>
      <c r="H148" s="15" t="inlineStr">
        <is>
          <t>C1</t>
        </is>
      </c>
      <c r="I148" s="15" t="inlineStr">
        <is>
          <t>SOURCE-REGISTERED / FORMULA TEXT NOT RETRIEVED</t>
        </is>
      </c>
      <c r="J148" s="15" t="inlineStr">
        <is>
          <t>Exact source text where recovered; otherwise registry-only placeholder.</t>
        </is>
      </c>
    </row>
    <row r="149">
      <c r="A149" s="15" t="inlineStr">
        <is>
          <t>EQ-144</t>
        </is>
      </c>
      <c r="B149" s="15" t="inlineStr">
        <is>
          <t>OD</t>
        </is>
      </c>
      <c r="C149" s="15" t="inlineStr">
        <is>
          <t>Organizational Dynamics</t>
        </is>
      </c>
      <c r="D149" s="15" t="n">
        <v>13</v>
      </c>
      <c r="E149" s="15" t="inlineStr"/>
      <c r="F149" s="15" t="inlineStr"/>
      <c r="G149" s="15" t="inlineStr">
        <is>
          <t>SOURCE-CODED</t>
        </is>
      </c>
      <c r="H149" s="15" t="inlineStr">
        <is>
          <t>C1</t>
        </is>
      </c>
      <c r="I149" s="15" t="inlineStr">
        <is>
          <t>SOURCE-REGISTERED / FORMULA TEXT NOT RETRIEVED</t>
        </is>
      </c>
      <c r="J149" s="15" t="inlineStr">
        <is>
          <t>Exact source text where recovered; otherwise registry-only placeholder.</t>
        </is>
      </c>
    </row>
    <row r="150">
      <c r="A150" s="15" t="inlineStr">
        <is>
          <t>EQ-145</t>
        </is>
      </c>
      <c r="B150" s="15" t="inlineStr">
        <is>
          <t>OD</t>
        </is>
      </c>
      <c r="C150" s="15" t="inlineStr">
        <is>
          <t>Organizational Dynamics</t>
        </is>
      </c>
      <c r="D150" s="15" t="n">
        <v>14</v>
      </c>
      <c r="E150" s="15" t="inlineStr"/>
      <c r="F150" s="15" t="inlineStr"/>
      <c r="G150" s="15" t="inlineStr">
        <is>
          <t>SOURCE-CODED</t>
        </is>
      </c>
      <c r="H150" s="15" t="inlineStr">
        <is>
          <t>C1</t>
        </is>
      </c>
      <c r="I150" s="15" t="inlineStr">
        <is>
          <t>SOURCE-REGISTERED / FORMULA TEXT NOT RETRIEVED</t>
        </is>
      </c>
      <c r="J150" s="15" t="inlineStr">
        <is>
          <t>Exact source text where recovered; otherwise registry-only placeholder.</t>
        </is>
      </c>
    </row>
    <row r="151">
      <c r="A151" s="15" t="inlineStr">
        <is>
          <t>EQ-146</t>
        </is>
      </c>
      <c r="B151" s="15" t="inlineStr">
        <is>
          <t>OD</t>
        </is>
      </c>
      <c r="C151" s="15" t="inlineStr">
        <is>
          <t>Organizational Dynamics</t>
        </is>
      </c>
      <c r="D151" s="15" t="n">
        <v>15</v>
      </c>
      <c r="E151" s="15" t="inlineStr"/>
      <c r="F151" s="15" t="inlineStr"/>
      <c r="G151" s="15" t="inlineStr">
        <is>
          <t>SOURCE-CODED</t>
        </is>
      </c>
      <c r="H151" s="15" t="inlineStr">
        <is>
          <t>C1</t>
        </is>
      </c>
      <c r="I151" s="15" t="inlineStr">
        <is>
          <t>SOURCE-REGISTERED / FORMULA TEXT NOT RETRIEVED</t>
        </is>
      </c>
      <c r="J151" s="15" t="inlineStr">
        <is>
          <t>Exact source text where recovered; otherwise registry-only placeholder.</t>
        </is>
      </c>
    </row>
    <row r="152">
      <c r="A152" s="15" t="inlineStr">
        <is>
          <t>EQ-147</t>
        </is>
      </c>
      <c r="B152" s="15" t="inlineStr">
        <is>
          <t>RG</t>
        </is>
      </c>
      <c r="C152" s="15" t="inlineStr">
        <is>
          <t>Recursive Organizational Grammar</t>
        </is>
      </c>
      <c r="D152" s="15" t="n">
        <v>1</v>
      </c>
      <c r="E152" s="15" t="inlineStr">
        <is>
          <t>Closure under canonical grammar</t>
        </is>
      </c>
      <c r="F152" s="15" t="inlineStr">
        <is>
          <t>Closure axiom</t>
        </is>
      </c>
      <c r="G152" s="15" t="inlineStr">
        <is>
          <t>SOURCE-CODED</t>
        </is>
      </c>
      <c r="H152" s="15" t="inlineStr">
        <is>
          <t>C1</t>
        </is>
      </c>
      <c r="I152" s="15" t="inlineStr">
        <is>
          <t>SOURCE-REGISTERED</t>
        </is>
      </c>
      <c r="J152" s="15" t="inlineStr">
        <is>
          <t>Exact source text where recovered; otherwise registry-only placeholder.</t>
        </is>
      </c>
    </row>
    <row r="153">
      <c r="A153" s="15" t="inlineStr">
        <is>
          <t>EQ-148</t>
        </is>
      </c>
      <c r="B153" s="15" t="inlineStr">
        <is>
          <t>RG</t>
        </is>
      </c>
      <c r="C153" s="15" t="inlineStr">
        <is>
          <t>Recursive Organizational Grammar</t>
        </is>
      </c>
      <c r="D153" s="15" t="n">
        <v>2</v>
      </c>
      <c r="E153" s="15" t="inlineStr">
        <is>
          <t>Minimality of canonical basis</t>
        </is>
      </c>
      <c r="F153" s="15" t="inlineStr">
        <is>
          <t>Minimality axiom</t>
        </is>
      </c>
      <c r="G153" s="15" t="inlineStr">
        <is>
          <t>SOURCE-CODED</t>
        </is>
      </c>
      <c r="H153" s="15" t="inlineStr">
        <is>
          <t>C1</t>
        </is>
      </c>
      <c r="I153" s="15" t="inlineStr">
        <is>
          <t>SOURCE-REGISTERED</t>
        </is>
      </c>
      <c r="J153" s="15" t="inlineStr">
        <is>
          <t>Exact source text where recovered; otherwise registry-only placeholder.</t>
        </is>
      </c>
    </row>
    <row r="154">
      <c r="A154" s="15" t="inlineStr">
        <is>
          <t>EQ-149</t>
        </is>
      </c>
      <c r="B154" s="15" t="inlineStr">
        <is>
          <t>RG</t>
        </is>
      </c>
      <c r="C154" s="15" t="inlineStr">
        <is>
          <t>Recursive Organizational Grammar</t>
        </is>
      </c>
      <c r="D154" s="15" t="n">
        <v>3</v>
      </c>
      <c r="E154" s="15" t="inlineStr">
        <is>
          <t>Completeness of representation</t>
        </is>
      </c>
      <c r="F154" s="15" t="inlineStr">
        <is>
          <t>Completeness axiom</t>
        </is>
      </c>
      <c r="G154" s="15" t="inlineStr">
        <is>
          <t>SOURCE-CODED</t>
        </is>
      </c>
      <c r="H154" s="15" t="inlineStr">
        <is>
          <t>C1</t>
        </is>
      </c>
      <c r="I154" s="15" t="inlineStr">
        <is>
          <t>SOURCE-REGISTERED</t>
        </is>
      </c>
      <c r="J154" s="15" t="inlineStr">
        <is>
          <t>Exact source text where recovered; otherwise registry-only placeholder.</t>
        </is>
      </c>
    </row>
    <row r="155">
      <c r="A155" s="15" t="inlineStr">
        <is>
          <t>EQ-150</t>
        </is>
      </c>
      <c r="B155" s="15" t="inlineStr">
        <is>
          <t>RG</t>
        </is>
      </c>
      <c r="C155" s="15" t="inlineStr">
        <is>
          <t>Recursive Organizational Grammar</t>
        </is>
      </c>
      <c r="D155" s="15" t="n">
        <v>4</v>
      </c>
      <c r="E155" s="15" t="inlineStr">
        <is>
          <t>Consistency of equivalent derivations</t>
        </is>
      </c>
      <c r="F155" s="15" t="inlineStr">
        <is>
          <t>Consistency axiom</t>
        </is>
      </c>
      <c r="G155" s="15" t="inlineStr">
        <is>
          <t>SOURCE-CODED</t>
        </is>
      </c>
      <c r="H155" s="15" t="inlineStr">
        <is>
          <t>C1</t>
        </is>
      </c>
      <c r="I155" s="15" t="inlineStr">
        <is>
          <t>SOURCE-REGISTERED</t>
        </is>
      </c>
      <c r="J155" s="15" t="inlineStr">
        <is>
          <t>Exact source text where recovered; otherwise registry-only placeholder.</t>
        </is>
      </c>
    </row>
    <row r="156">
      <c r="A156" s="15" t="inlineStr">
        <is>
          <t>EQ-151</t>
        </is>
      </c>
      <c r="B156" s="15" t="inlineStr">
        <is>
          <t>RG</t>
        </is>
      </c>
      <c r="C156" s="15" t="inlineStr">
        <is>
          <t>Recursive Organizational Grammar</t>
        </is>
      </c>
      <c r="D156" s="15" t="n">
        <v>5</v>
      </c>
      <c r="E156" s="15" t="inlineStr">
        <is>
          <t>Canonical normal form</t>
        </is>
      </c>
      <c r="F156" s="15" t="inlineStr">
        <is>
          <t>Canonical form</t>
        </is>
      </c>
      <c r="G156" s="15" t="inlineStr">
        <is>
          <t>SOURCE-CODED</t>
        </is>
      </c>
      <c r="H156" s="15" t="inlineStr">
        <is>
          <t>C1</t>
        </is>
      </c>
      <c r="I156" s="15" t="inlineStr">
        <is>
          <t>SOURCE-REGISTERED</t>
        </is>
      </c>
      <c r="J156" s="15" t="inlineStr">
        <is>
          <t>Exact source text where recovered; otherwise registry-only placeholder.</t>
        </is>
      </c>
    </row>
    <row r="157">
      <c r="A157" s="15" t="inlineStr">
        <is>
          <t>EQ-152</t>
        </is>
      </c>
      <c r="B157" s="15" t="inlineStr">
        <is>
          <t>RG</t>
        </is>
      </c>
      <c r="C157" s="15" t="inlineStr">
        <is>
          <t>Recursive Organizational Grammar</t>
        </is>
      </c>
      <c r="D157" s="15" t="n">
        <v>6</v>
      </c>
      <c r="E157" s="15" t="inlineStr">
        <is>
          <t>Recursive generativity</t>
        </is>
      </c>
      <c r="F157" s="15" t="inlineStr">
        <is>
          <t>Recursive generativity</t>
        </is>
      </c>
      <c r="G157" s="15" t="inlineStr">
        <is>
          <t>SOURCE-CODED</t>
        </is>
      </c>
      <c r="H157" s="15" t="inlineStr">
        <is>
          <t>C1</t>
        </is>
      </c>
      <c r="I157" s="15" t="inlineStr">
        <is>
          <t>SOURCE-REGISTERED</t>
        </is>
      </c>
      <c r="J157" s="15" t="inlineStr">
        <is>
          <t>Exact source text where recovered; otherwise registry-only placeholder.</t>
        </is>
      </c>
    </row>
    <row r="158">
      <c r="A158" s="15" t="inlineStr">
        <is>
          <t>EQ-153</t>
        </is>
      </c>
      <c r="B158" s="15" t="inlineStr">
        <is>
          <t>RG</t>
        </is>
      </c>
      <c r="C158" s="15" t="inlineStr">
        <is>
          <t>Recursive Organizational Grammar</t>
        </is>
      </c>
      <c r="D158" s="15" t="n">
        <v>7</v>
      </c>
      <c r="E158" s="15" t="inlineStr">
        <is>
          <t>Persistence under admissible recursion</t>
        </is>
      </c>
      <c r="F158" s="15" t="inlineStr">
        <is>
          <t>Persistence theorem</t>
        </is>
      </c>
      <c r="G158" s="15" t="inlineStr">
        <is>
          <t>SOURCE-CODED</t>
        </is>
      </c>
      <c r="H158" s="15" t="inlineStr">
        <is>
          <t>C1</t>
        </is>
      </c>
      <c r="I158" s="15" t="inlineStr">
        <is>
          <t>SOURCE-REGISTERED</t>
        </is>
      </c>
      <c r="J158" s="15" t="inlineStr">
        <is>
          <t>Exact source text where recovered; otherwise registry-only placeholder.</t>
        </is>
      </c>
    </row>
    <row r="159">
      <c r="A159" s="15" t="inlineStr">
        <is>
          <t>EQ-154</t>
        </is>
      </c>
      <c r="B159" s="15" t="inlineStr">
        <is>
          <t>RG</t>
        </is>
      </c>
      <c r="C159" s="15" t="inlineStr">
        <is>
          <t>Recursive Organizational Grammar</t>
        </is>
      </c>
      <c r="D159" s="15" t="n">
        <v>8</v>
      </c>
      <c r="E159" s="15" t="inlineStr">
        <is>
          <t>D→T→C→Π generativity chain</t>
        </is>
      </c>
      <c r="F159" s="15" t="inlineStr">
        <is>
          <t>Generativity chain</t>
        </is>
      </c>
      <c r="G159" s="15" t="inlineStr">
        <is>
          <t>SOURCE-CODED</t>
        </is>
      </c>
      <c r="H159" s="15" t="inlineStr">
        <is>
          <t>C1</t>
        </is>
      </c>
      <c r="I159" s="15" t="inlineStr">
        <is>
          <t>SOURCE-REGISTERED</t>
        </is>
      </c>
      <c r="J159" s="15" t="inlineStr">
        <is>
          <t>Exact source text where recovered; otherwise registry-only placeholder.</t>
        </is>
      </c>
    </row>
    <row r="160">
      <c r="A160" s="15" t="inlineStr">
        <is>
          <t>EQ-155</t>
        </is>
      </c>
      <c r="B160" s="15" t="inlineStr">
        <is>
          <t>MC</t>
        </is>
      </c>
      <c r="C160" s="15" t="inlineStr">
        <is>
          <t>Master Cascade</t>
        </is>
      </c>
      <c r="D160" s="15" t="n">
        <v>1</v>
      </c>
      <c r="E160" s="15" t="inlineStr">
        <is>
          <t>Σ₀ = initial admissible organizational state</t>
        </is>
      </c>
      <c r="F160" s="15" t="inlineStr">
        <is>
          <t>Initial state</t>
        </is>
      </c>
      <c r="G160" s="15" t="inlineStr">
        <is>
          <t>SOURCE-CODED</t>
        </is>
      </c>
      <c r="H160" s="15" t="inlineStr">
        <is>
          <t>C0-C7</t>
        </is>
      </c>
      <c r="I160" s="15" t="inlineStr">
        <is>
          <t>SOURCE-REGISTERED</t>
        </is>
      </c>
      <c r="J160" s="15" t="inlineStr">
        <is>
          <t>Exact source text where recovered; otherwise registry-only placeholder.</t>
        </is>
      </c>
    </row>
    <row r="161">
      <c r="A161" s="15" t="inlineStr">
        <is>
          <t>EQ-156</t>
        </is>
      </c>
      <c r="B161" s="15" t="inlineStr">
        <is>
          <t>MC</t>
        </is>
      </c>
      <c r="C161" s="15" t="inlineStr">
        <is>
          <t>Master Cascade</t>
        </is>
      </c>
      <c r="D161" s="15" t="n">
        <v>2</v>
      </c>
      <c r="E161" s="15" t="inlineStr">
        <is>
          <t>D(Σ₀)→distinction state</t>
        </is>
      </c>
      <c r="F161" s="15" t="inlineStr">
        <is>
          <t>Distinction step</t>
        </is>
      </c>
      <c r="G161" s="15" t="inlineStr">
        <is>
          <t>SOURCE-CODED</t>
        </is>
      </c>
      <c r="H161" s="15" t="inlineStr">
        <is>
          <t>C0-C7</t>
        </is>
      </c>
      <c r="I161" s="15" t="inlineStr">
        <is>
          <t>SOURCE-REGISTERED</t>
        </is>
      </c>
      <c r="J161" s="15" t="inlineStr">
        <is>
          <t>Exact source text where recovered; otherwise registry-only placeholder.</t>
        </is>
      </c>
    </row>
    <row r="162">
      <c r="A162" s="15" t="inlineStr">
        <is>
          <t>EQ-157</t>
        </is>
      </c>
      <c r="B162" s="15" t="inlineStr">
        <is>
          <t>MC</t>
        </is>
      </c>
      <c r="C162" s="15" t="inlineStr">
        <is>
          <t>Master Cascade</t>
        </is>
      </c>
      <c r="D162" s="15" t="n">
        <v>3</v>
      </c>
      <c r="E162" s="15" t="inlineStr">
        <is>
          <t>T(D(Σ₀))→transformed state</t>
        </is>
      </c>
      <c r="F162" s="15" t="inlineStr">
        <is>
          <t>Transformation step</t>
        </is>
      </c>
      <c r="G162" s="15" t="inlineStr">
        <is>
          <t>SOURCE-CODED</t>
        </is>
      </c>
      <c r="H162" s="15" t="inlineStr">
        <is>
          <t>C0-C7</t>
        </is>
      </c>
      <c r="I162" s="15" t="inlineStr">
        <is>
          <t>SOURCE-REGISTERED</t>
        </is>
      </c>
      <c r="J162" s="15" t="inlineStr">
        <is>
          <t>Exact source text where recovered; otherwise registry-only placeholder.</t>
        </is>
      </c>
    </row>
    <row r="163">
      <c r="A163" s="15" t="inlineStr">
        <is>
          <t>EQ-158</t>
        </is>
      </c>
      <c r="B163" s="15" t="inlineStr">
        <is>
          <t>MC</t>
        </is>
      </c>
      <c r="C163" s="15" t="inlineStr">
        <is>
          <t>Master Cascade</t>
        </is>
      </c>
      <c r="D163" s="15" t="n">
        <v>4</v>
      </c>
      <c r="E163" s="15" t="inlineStr">
        <is>
          <t>C(T(D(Σ₀)))→constrained state</t>
        </is>
      </c>
      <c r="F163" s="15" t="inlineStr">
        <is>
          <t>Constraint step</t>
        </is>
      </c>
      <c r="G163" s="15" t="inlineStr">
        <is>
          <t>SOURCE-CODED</t>
        </is>
      </c>
      <c r="H163" s="15" t="inlineStr">
        <is>
          <t>C0-C7</t>
        </is>
      </c>
      <c r="I163" s="15" t="inlineStr">
        <is>
          <t>SOURCE-REGISTERED</t>
        </is>
      </c>
      <c r="J163" s="15" t="inlineStr">
        <is>
          <t>Exact source text where recovered; otherwise registry-only placeholder.</t>
        </is>
      </c>
    </row>
    <row r="164">
      <c r="A164" s="15" t="inlineStr">
        <is>
          <t>EQ-159</t>
        </is>
      </c>
      <c r="B164" s="15" t="inlineStr">
        <is>
          <t>MC</t>
        </is>
      </c>
      <c r="C164" s="15" t="inlineStr">
        <is>
          <t>Master Cascade</t>
        </is>
      </c>
      <c r="D164" s="15" t="n">
        <v>5</v>
      </c>
      <c r="E164" s="15" t="inlineStr">
        <is>
          <t>K_t=e^{-tL}</t>
        </is>
      </c>
      <c r="F164" s="15" t="inlineStr">
        <is>
          <t>Heat semigroup</t>
        </is>
      </c>
      <c r="G164" s="15" t="inlineStr">
        <is>
          <t>SOURCE-CODED</t>
        </is>
      </c>
      <c r="H164" s="15" t="inlineStr">
        <is>
          <t>C0-C7</t>
        </is>
      </c>
      <c r="I164" s="15" t="inlineStr">
        <is>
          <t>SOURCE-REGISTERED</t>
        </is>
      </c>
      <c r="J164" s="15" t="inlineStr">
        <is>
          <t>Exact source text where recovered; otherwise registry-only placeholder.</t>
        </is>
      </c>
    </row>
    <row r="165">
      <c r="A165" s="15" t="inlineStr">
        <is>
          <t>EQ-160</t>
        </is>
      </c>
      <c r="B165" s="15" t="inlineStr">
        <is>
          <t>MC</t>
        </is>
      </c>
      <c r="C165" s="15" t="inlineStr">
        <is>
          <t>Master Cascade</t>
        </is>
      </c>
      <c r="D165" s="15" t="n">
        <v>6</v>
      </c>
      <c r="E165" s="15" t="inlineStr">
        <is>
          <t>K_t→K(t)~Σ_na_nt^{(n−m)/2}</t>
        </is>
      </c>
      <c r="F165" s="15" t="inlineStr">
        <is>
          <t>Heat-kernel asymptotics</t>
        </is>
      </c>
      <c r="G165" s="15" t="inlineStr">
        <is>
          <t>SOURCE-CODED</t>
        </is>
      </c>
      <c r="H165" s="15" t="inlineStr">
        <is>
          <t>C0-C7</t>
        </is>
      </c>
      <c r="I165" s="15" t="inlineStr">
        <is>
          <t>SOURCE-REGISTERED</t>
        </is>
      </c>
      <c r="J165" s="15" t="inlineStr">
        <is>
          <t>Exact source text where recovered; otherwise registry-only placeholder.</t>
        </is>
      </c>
    </row>
    <row r="166">
      <c r="A166" s="15" t="inlineStr">
        <is>
          <t>EQ-161</t>
        </is>
      </c>
      <c r="B166" s="15" t="inlineStr">
        <is>
          <t>MC</t>
        </is>
      </c>
      <c r="C166" s="15" t="inlineStr">
        <is>
          <t>Master Cascade</t>
        </is>
      </c>
      <c r="D166" s="15" t="n">
        <v>7</v>
      </c>
      <c r="E166" s="15" t="inlineStr">
        <is>
          <t>Spec(L)→d(i,j)=√Σ_k((φ_k(i)−φ_k(j))²/λ_k)</t>
        </is>
      </c>
      <c r="F166" s="15" t="inlineStr">
        <is>
          <t>Spectrum to distance</t>
        </is>
      </c>
      <c r="G166" s="15" t="inlineStr">
        <is>
          <t>SOURCE-CODED</t>
        </is>
      </c>
      <c r="H166" s="15" t="inlineStr">
        <is>
          <t>C0-C7</t>
        </is>
      </c>
      <c r="I166" s="15" t="inlineStr">
        <is>
          <t>SOURCE-REGISTERED</t>
        </is>
      </c>
      <c r="J166" s="15" t="inlineStr">
        <is>
          <t>Exact source text where recovered; otherwise registry-only placeholder.</t>
        </is>
      </c>
    </row>
    <row r="167">
      <c r="A167" s="15" t="inlineStr">
        <is>
          <t>EQ-162</t>
        </is>
      </c>
      <c r="B167" s="15" t="inlineStr">
        <is>
          <t>MC</t>
        </is>
      </c>
      <c r="C167" s="15" t="inlineStr">
        <is>
          <t>Master Cascade</t>
        </is>
      </c>
      <c r="D167" s="15" t="n">
        <v>8</v>
      </c>
      <c r="E167" s="15" t="inlineStr">
        <is>
          <t>d(i,j)→g_ab=Σ_kλ_k⁻¹∂_aφ_k∂_bφ_k</t>
        </is>
      </c>
      <c r="F167" s="15" t="inlineStr">
        <is>
          <t>Distance to metric</t>
        </is>
      </c>
      <c r="G167" s="15" t="inlineStr">
        <is>
          <t>SOURCE-CODED</t>
        </is>
      </c>
      <c r="H167" s="15" t="inlineStr">
        <is>
          <t>C0-C7</t>
        </is>
      </c>
      <c r="I167" s="15" t="inlineStr">
        <is>
          <t>SOURCE-REGISTERED</t>
        </is>
      </c>
      <c r="J167" s="15" t="inlineStr">
        <is>
          <t>Exact source text where recovered; otherwise registry-only placeholder.</t>
        </is>
      </c>
    </row>
    <row r="168">
      <c r="A168" s="15" t="inlineStr">
        <is>
          <t>EQ-163</t>
        </is>
      </c>
      <c r="B168" s="15" t="inlineStr">
        <is>
          <t>MC</t>
        </is>
      </c>
      <c r="C168" s="15" t="inlineStr">
        <is>
          <t>Master Cascade</t>
        </is>
      </c>
      <c r="D168" s="15" t="n">
        <v>9</v>
      </c>
      <c r="E168" s="15" t="inlineStr">
        <is>
          <t>g_ab→Γ^c_ab</t>
        </is>
      </c>
      <c r="F168" s="15" t="inlineStr">
        <is>
          <t>Metric to connection</t>
        </is>
      </c>
      <c r="G168" s="15" t="inlineStr">
        <is>
          <t>SOURCE-CODED</t>
        </is>
      </c>
      <c r="H168" s="15" t="inlineStr">
        <is>
          <t>C0-C7</t>
        </is>
      </c>
      <c r="I168" s="15" t="inlineStr">
        <is>
          <t>SOURCE-REGISTERED</t>
        </is>
      </c>
      <c r="J168" s="15" t="inlineStr">
        <is>
          <t>Exact source text where recovered; otherwise registry-only placeholder.</t>
        </is>
      </c>
    </row>
    <row r="169">
      <c r="A169" s="15" t="inlineStr">
        <is>
          <t>EQ-164</t>
        </is>
      </c>
      <c r="B169" s="15" t="inlineStr">
        <is>
          <t>MC</t>
        </is>
      </c>
      <c r="C169" s="15" t="inlineStr">
        <is>
          <t>Master Cascade</t>
        </is>
      </c>
      <c r="D169" s="15" t="n">
        <v>10</v>
      </c>
      <c r="E169" s="15" t="inlineStr">
        <is>
          <t>Γ→R^a_bcd→R_ab→G_ab</t>
        </is>
      </c>
      <c r="F169" s="15" t="inlineStr">
        <is>
          <t>Curvature hierarchy</t>
        </is>
      </c>
      <c r="G169" s="15" t="inlineStr">
        <is>
          <t>SOURCE-CODED</t>
        </is>
      </c>
      <c r="H169" s="15" t="inlineStr">
        <is>
          <t>C0-C7</t>
        </is>
      </c>
      <c r="I169" s="15" t="inlineStr">
        <is>
          <t>SOURCE-REGISTERED</t>
        </is>
      </c>
      <c r="J169" s="15" t="inlineStr">
        <is>
          <t>Exact source text where recovered; otherwise registry-only placeholder.</t>
        </is>
      </c>
    </row>
    <row r="170">
      <c r="A170" s="15" t="inlineStr">
        <is>
          <t>EQ-165</t>
        </is>
      </c>
      <c r="B170" s="15" t="inlineStr">
        <is>
          <t>MC</t>
        </is>
      </c>
      <c r="C170" s="15" t="inlineStr">
        <is>
          <t>Master Cascade</t>
        </is>
      </c>
      <c r="D170" s="15" t="n">
        <v>11</v>
      </c>
      <c r="E170" s="15" t="inlineStr">
        <is>
          <t>G_ab→G_{μν}+Λg_{μν}=8πGT_{μν}</t>
        </is>
      </c>
      <c r="F170" s="15" t="inlineStr">
        <is>
          <t>Einstein bridge</t>
        </is>
      </c>
      <c r="G170" s="15" t="inlineStr">
        <is>
          <t>SOURCE-CODED</t>
        </is>
      </c>
      <c r="H170" s="15" t="inlineStr">
        <is>
          <t>C0-C7</t>
        </is>
      </c>
      <c r="I170" s="15" t="inlineStr">
        <is>
          <t>SOURCE-REGISTERED</t>
        </is>
      </c>
      <c r="J170" s="15" t="inlineStr">
        <is>
          <t>Exact source text where recovered; otherwise registry-only placeholder.</t>
        </is>
      </c>
    </row>
    <row r="171">
      <c r="A171" s="15" t="inlineStr">
        <is>
          <t>EQ-166</t>
        </is>
      </c>
      <c r="B171" s="15" t="inlineStr">
        <is>
          <t>MC</t>
        </is>
      </c>
      <c r="C171" s="15" t="inlineStr">
        <is>
          <t>Master Cascade</t>
        </is>
      </c>
      <c r="D171" s="15" t="n">
        <v>12</v>
      </c>
      <c r="E171" s="15" t="inlineStr">
        <is>
          <t>S=Tr(f(D/Λ))+&lt;ψ,Dψ&gt;</t>
        </is>
      </c>
      <c r="F171" s="15" t="inlineStr">
        <is>
          <t>Spectral/fermionic action</t>
        </is>
      </c>
      <c r="G171" s="15" t="inlineStr">
        <is>
          <t>SOURCE-CODED</t>
        </is>
      </c>
      <c r="H171" s="15" t="inlineStr">
        <is>
          <t>C0-C7</t>
        </is>
      </c>
      <c r="I171" s="15" t="inlineStr">
        <is>
          <t>SOURCE-REGISTERED</t>
        </is>
      </c>
      <c r="J171" s="15" t="inlineStr">
        <is>
          <t>Exact source text where recovered; otherwise registry-only placeholder.</t>
        </is>
      </c>
    </row>
    <row r="172">
      <c r="A172" s="15" t="inlineStr">
        <is>
          <t>EQ-167</t>
        </is>
      </c>
      <c r="B172" s="15" t="inlineStr">
        <is>
          <t>MC</t>
        </is>
      </c>
      <c r="C172" s="15" t="inlineStr">
        <is>
          <t>Master Cascade</t>
        </is>
      </c>
      <c r="D172" s="15" t="n">
        <v>13</v>
      </c>
      <c r="E172" s="15" t="inlineStr">
        <is>
          <t>δS=0</t>
        </is>
      </c>
      <c r="F172" s="15" t="inlineStr">
        <is>
          <t>Stationarity</t>
        </is>
      </c>
      <c r="G172" s="15" t="inlineStr">
        <is>
          <t>SOURCE-CODED</t>
        </is>
      </c>
      <c r="H172" s="15" t="inlineStr">
        <is>
          <t>C0-C7</t>
        </is>
      </c>
      <c r="I172" s="15" t="inlineStr">
        <is>
          <t>SOURCE-REGISTERED</t>
        </is>
      </c>
      <c r="J172" s="15" t="inlineStr">
        <is>
          <t>Exact source text where recovered; otherwise registry-only placeholder.</t>
        </is>
      </c>
    </row>
    <row r="173">
      <c r="A173" s="15" t="inlineStr">
        <is>
          <t>EQ-168</t>
        </is>
      </c>
      <c r="B173" s="15" t="inlineStr">
        <is>
          <t>MC</t>
        </is>
      </c>
      <c r="C173" s="15" t="inlineStr">
        <is>
          <t>Master Cascade</t>
        </is>
      </c>
      <c r="D173" s="15" t="n">
        <v>14</v>
      </c>
      <c r="E173" s="15" t="inlineStr">
        <is>
          <t>C_Π[y]=∫(g_aby'^ay'^b+2I_F)dt</t>
        </is>
      </c>
      <c r="F173" s="15" t="inlineStr">
        <is>
          <t>Persistence action</t>
        </is>
      </c>
      <c r="G173" s="15" t="inlineStr">
        <is>
          <t>SOURCE-CODED</t>
        </is>
      </c>
      <c r="H173" s="15" t="inlineStr">
        <is>
          <t>C0-C7</t>
        </is>
      </c>
      <c r="I173" s="15" t="inlineStr">
        <is>
          <t>SOURCE-REGISTERED</t>
        </is>
      </c>
      <c r="J173" s="15" t="inlineStr">
        <is>
          <t>Exact source text where recovered; otherwise registry-only placeholder.</t>
        </is>
      </c>
    </row>
    <row r="174">
      <c r="A174" s="15" t="inlineStr">
        <is>
          <t>EQ-169</t>
        </is>
      </c>
      <c r="B174" s="15" t="inlineStr">
        <is>
          <t>MC</t>
        </is>
      </c>
      <c r="C174" s="15" t="inlineStr">
        <is>
          <t>Master Cascade</t>
        </is>
      </c>
      <c r="D174" s="15" t="n">
        <v>15</v>
      </c>
      <c r="E174" s="15" t="inlineStr">
        <is>
          <t>δC_Π=0→y''_c+Γ^c_aby'^ay'^b=−g^{ca}∇_aI_F</t>
        </is>
      </c>
      <c r="F174" s="15" t="inlineStr">
        <is>
          <t>Persistence geodesic equation</t>
        </is>
      </c>
      <c r="G174" s="15" t="inlineStr">
        <is>
          <t>SOURCE-CODED</t>
        </is>
      </c>
      <c r="H174" s="15" t="inlineStr">
        <is>
          <t>C0-C7</t>
        </is>
      </c>
      <c r="I174" s="15" t="inlineStr">
        <is>
          <t>SOURCE-REGISTERED</t>
        </is>
      </c>
      <c r="J174" s="15" t="inlineStr">
        <is>
          <t>Exact source text where recovered; otherwise registry-only placeholder.</t>
        </is>
      </c>
    </row>
    <row r="175">
      <c r="A175" s="15" t="inlineStr">
        <is>
          <t>EQ-170</t>
        </is>
      </c>
      <c r="B175" s="15" t="inlineStr">
        <is>
          <t>MC</t>
        </is>
      </c>
      <c r="C175" s="15" t="inlineStr">
        <is>
          <t>Master Cascade</t>
        </is>
      </c>
      <c r="D175" s="15" t="n">
        <v>16</v>
      </c>
      <c r="E175" s="15" t="inlineStr">
        <is>
          <t>I_F=0→y''_c+Γ^c_aby'^ay'^b=0</t>
        </is>
      </c>
      <c r="F175" s="15" t="inlineStr">
        <is>
          <t>Zero-information geodesic limit</t>
        </is>
      </c>
      <c r="G175" s="15" t="inlineStr">
        <is>
          <t>SOURCE-CODED</t>
        </is>
      </c>
      <c r="H175" s="15" t="inlineStr">
        <is>
          <t>C0-C7</t>
        </is>
      </c>
      <c r="I175" s="15" t="inlineStr">
        <is>
          <t>SOURCE-REGISTERED</t>
        </is>
      </c>
      <c r="J175" s="15" t="inlineStr">
        <is>
          <t>Exact source text where recovered; otherwise registry-only placeholder.</t>
        </is>
      </c>
    </row>
    <row r="176">
      <c r="A176" s="15" t="inlineStr">
        <is>
          <t>EQ-171</t>
        </is>
      </c>
      <c r="B176" s="15" t="inlineStr">
        <is>
          <t>MC</t>
        </is>
      </c>
      <c r="C176" s="15" t="inlineStr">
        <is>
          <t>Master Cascade</t>
        </is>
      </c>
      <c r="D176" s="15" t="n">
        <v>17</v>
      </c>
      <c r="E176" s="15" t="inlineStr">
        <is>
          <t>R=e^{-βL}→Z=Tr(e^{-βL})→F=−k_BTlnZ</t>
        </is>
      </c>
      <c r="F176" s="15" t="inlineStr">
        <is>
          <t>Statistical thermodynamics chain</t>
        </is>
      </c>
      <c r="G176" s="15" t="inlineStr">
        <is>
          <t>SOURCE-CODED</t>
        </is>
      </c>
      <c r="H176" s="15" t="inlineStr">
        <is>
          <t>C0-C7</t>
        </is>
      </c>
      <c r="I176" s="15" t="inlineStr">
        <is>
          <t>SOURCE-REGISTERED</t>
        </is>
      </c>
      <c r="J176" s="15" t="inlineStr">
        <is>
          <t>Exact source text where recovered; otherwise registry-only placeholder.</t>
        </is>
      </c>
    </row>
    <row r="177">
      <c r="A177" s="15" t="inlineStr">
        <is>
          <t>EQ-172</t>
        </is>
      </c>
      <c r="B177" s="15" t="inlineStr">
        <is>
          <t>MC</t>
        </is>
      </c>
      <c r="C177" s="15" t="inlineStr">
        <is>
          <t>Master Cascade</t>
        </is>
      </c>
      <c r="D177" s="15" t="n">
        <v>18</v>
      </c>
      <c r="E177" s="15" t="inlineStr">
        <is>
          <t>α=Φ_in/Φ_decay→U_α</t>
        </is>
      </c>
      <c r="F177" s="15" t="inlineStr">
        <is>
          <t>Input/decay update operator</t>
        </is>
      </c>
      <c r="G177" s="15" t="inlineStr">
        <is>
          <t>SOURCE-CODED</t>
        </is>
      </c>
      <c r="H177" s="15" t="inlineStr">
        <is>
          <t>C0-C7</t>
        </is>
      </c>
      <c r="I177" s="15" t="inlineStr">
        <is>
          <t>SOURCE-REGISTERED</t>
        </is>
      </c>
      <c r="J177" s="15" t="inlineStr">
        <is>
          <t>Exact source text where recovered; otherwise registry-only placeholder.</t>
        </is>
      </c>
    </row>
    <row r="178">
      <c r="A178" s="15" t="inlineStr">
        <is>
          <t>EQ-173</t>
        </is>
      </c>
      <c r="B178" s="15" t="inlineStr">
        <is>
          <t>MC</t>
        </is>
      </c>
      <c r="C178" s="15" t="inlineStr">
        <is>
          <t>Master Cascade</t>
        </is>
      </c>
      <c r="D178" s="15" t="n">
        <v>19</v>
      </c>
      <c r="E178" s="15" t="inlineStr">
        <is>
          <t>lim U_α^n(Σ₀)→{Σ_chaos,Σ_persistent,Σ_equilibrium}</t>
        </is>
      </c>
      <c r="F178" s="15" t="inlineStr">
        <is>
          <t>Asymptotic organizational classes</t>
        </is>
      </c>
      <c r="G178" s="15" t="inlineStr">
        <is>
          <t>SOURCE-CODED</t>
        </is>
      </c>
      <c r="H178" s="15" t="inlineStr">
        <is>
          <t>C0-C7</t>
        </is>
      </c>
      <c r="I178" s="15" t="inlineStr">
        <is>
          <t>SOURCE-REGISTERED</t>
        </is>
      </c>
      <c r="J178" s="15" t="inlineStr">
        <is>
          <t>Exact source text where recovered; otherwise registry-only placeholder.</t>
        </is>
      </c>
    </row>
    <row r="179">
      <c r="A179" s="15" t="inlineStr">
        <is>
          <t>EQ-174</t>
        </is>
      </c>
      <c r="B179" s="15" t="inlineStr">
        <is>
          <t>MC</t>
        </is>
      </c>
      <c r="C179" s="15" t="inlineStr">
        <is>
          <t>Master Cascade</t>
        </is>
      </c>
      <c r="D179" s="15" t="n">
        <v>20</v>
      </c>
      <c r="E179" s="15" t="inlineStr">
        <is>
          <t>Γ=C∘T∘D, Π→Δ'</t>
        </is>
      </c>
      <c r="F179" s="15" t="inlineStr">
        <is>
          <t>Canonical grammar / persistence distinction</t>
        </is>
      </c>
      <c r="G179" s="15" t="inlineStr">
        <is>
          <t>SOURCE-CODED</t>
        </is>
      </c>
      <c r="H179" s="15" t="inlineStr">
        <is>
          <t>C0-C7</t>
        </is>
      </c>
      <c r="I179" s="15" t="inlineStr">
        <is>
          <t>SOURCE-REGISTERED</t>
        </is>
      </c>
      <c r="J179" s="15" t="inlineStr">
        <is>
          <t>Exact source text where recovered; otherwise registry-only placeholder.</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tabColor rgb="002F5D8C"/>
    <outlinePr summaryBelow="1" summaryRight="1"/>
    <pageSetUpPr/>
  </sheetPr>
  <dimension ref="A1:H179"/>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14" customWidth="1" min="2" max="2"/>
    <col width="28" customWidth="1" min="3" max="3"/>
    <col width="32" customWidth="1" min="4" max="4"/>
    <col width="32" customWidth="1" min="5" max="5"/>
    <col width="18" customWidth="1" min="6" max="6"/>
    <col width="28" customWidth="1" min="7" max="7"/>
    <col width="50" customWidth="1" min="8" max="8"/>
  </cols>
  <sheetData>
    <row r="1" ht="32" customHeight="1">
      <c r="A1" s="13" t="inlineStr">
        <is>
          <t>EQUATION LINEAGE</t>
        </is>
      </c>
    </row>
    <row r="2" ht="38" customHeight="1">
      <c r="A2" s="12" t="inlineStr">
        <is>
          <t>174 equation nodes aligned with the dependency-first registry.</t>
        </is>
      </c>
    </row>
    <row r="5">
      <c r="A5" s="14" t="inlineStr">
        <is>
          <t>Lineage ID</t>
        </is>
      </c>
      <c r="B5" s="14" t="inlineStr">
        <is>
          <t>Equation</t>
        </is>
      </c>
      <c r="C5" s="14" t="inlineStr">
        <is>
          <t>Section</t>
        </is>
      </c>
      <c r="D5" s="14" t="inlineStr">
        <is>
          <t>Immediate upstream</t>
        </is>
      </c>
      <c r="E5" s="14" t="inlineStr">
        <is>
          <t>Immediate downstream</t>
        </is>
      </c>
      <c r="F5" s="14" t="inlineStr">
        <is>
          <t>Layer</t>
        </is>
      </c>
      <c r="G5" s="14" t="inlineStr">
        <is>
          <t>Status</t>
        </is>
      </c>
      <c r="H5" s="14" t="inlineStr">
        <is>
          <t>Governance</t>
        </is>
      </c>
    </row>
    <row r="6">
      <c r="A6" s="15" t="inlineStr">
        <is>
          <t>LIN-001</t>
        </is>
      </c>
      <c r="B6" s="15" t="inlineStr">
        <is>
          <t>EQ-001</t>
        </is>
      </c>
      <c r="C6" s="15" t="inlineStr">
        <is>
          <t>NCG</t>
        </is>
      </c>
      <c r="D6" s="15" t="inlineStr">
        <is>
          <t>SOURCE / prior node</t>
        </is>
      </c>
      <c r="E6" s="15" t="inlineStr">
        <is>
          <t>EQ-002</t>
        </is>
      </c>
      <c r="F6" s="15" t="inlineStr">
        <is>
          <t>C5</t>
        </is>
      </c>
      <c r="G6" s="15" t="inlineStr">
        <is>
          <t>SOURCE-CODED</t>
        </is>
      </c>
      <c r="H6" s="15" t="inlineStr">
        <is>
          <t>Topological placeholder; branch-specific dependencies override simple serial adjacency.</t>
        </is>
      </c>
    </row>
    <row r="7">
      <c r="A7" s="15" t="inlineStr">
        <is>
          <t>LIN-002</t>
        </is>
      </c>
      <c r="B7" s="15" t="inlineStr">
        <is>
          <t>EQ-002</t>
        </is>
      </c>
      <c r="C7" s="15" t="inlineStr">
        <is>
          <t>NCG</t>
        </is>
      </c>
      <c r="D7" s="15" t="inlineStr">
        <is>
          <t>EQ-001</t>
        </is>
      </c>
      <c r="E7" s="15" t="inlineStr">
        <is>
          <t>EQ-003</t>
        </is>
      </c>
      <c r="F7" s="15" t="inlineStr">
        <is>
          <t>C5</t>
        </is>
      </c>
      <c r="G7" s="15" t="inlineStr">
        <is>
          <t>SOURCE-CODED</t>
        </is>
      </c>
      <c r="H7" s="15" t="inlineStr">
        <is>
          <t>Topological placeholder; branch-specific dependencies override simple serial adjacency.</t>
        </is>
      </c>
    </row>
    <row r="8">
      <c r="A8" s="15" t="inlineStr">
        <is>
          <t>LIN-003</t>
        </is>
      </c>
      <c r="B8" s="15" t="inlineStr">
        <is>
          <t>EQ-003</t>
        </is>
      </c>
      <c r="C8" s="15" t="inlineStr">
        <is>
          <t>NCG</t>
        </is>
      </c>
      <c r="D8" s="15" t="inlineStr">
        <is>
          <t>EQ-002</t>
        </is>
      </c>
      <c r="E8" s="15" t="inlineStr">
        <is>
          <t>EQ-004</t>
        </is>
      </c>
      <c r="F8" s="15" t="inlineStr">
        <is>
          <t>C5</t>
        </is>
      </c>
      <c r="G8" s="15" t="inlineStr">
        <is>
          <t>SOURCE-CODED</t>
        </is>
      </c>
      <c r="H8" s="15" t="inlineStr">
        <is>
          <t>Topological placeholder; branch-specific dependencies override simple serial adjacency.</t>
        </is>
      </c>
    </row>
    <row r="9">
      <c r="A9" s="15" t="inlineStr">
        <is>
          <t>LIN-004</t>
        </is>
      </c>
      <c r="B9" s="15" t="inlineStr">
        <is>
          <t>EQ-004</t>
        </is>
      </c>
      <c r="C9" s="15" t="inlineStr">
        <is>
          <t>NCG</t>
        </is>
      </c>
      <c r="D9" s="15" t="inlineStr">
        <is>
          <t>EQ-003</t>
        </is>
      </c>
      <c r="E9" s="15" t="inlineStr">
        <is>
          <t>EQ-005</t>
        </is>
      </c>
      <c r="F9" s="15" t="inlineStr">
        <is>
          <t>C5</t>
        </is>
      </c>
      <c r="G9" s="15" t="inlineStr">
        <is>
          <t>SOURCE-CODED</t>
        </is>
      </c>
      <c r="H9" s="15" t="inlineStr">
        <is>
          <t>Topological placeholder; branch-specific dependencies override simple serial adjacency.</t>
        </is>
      </c>
    </row>
    <row r="10">
      <c r="A10" s="15" t="inlineStr">
        <is>
          <t>LIN-005</t>
        </is>
      </c>
      <c r="B10" s="15" t="inlineStr">
        <is>
          <t>EQ-005</t>
        </is>
      </c>
      <c r="C10" s="15" t="inlineStr">
        <is>
          <t>NCG</t>
        </is>
      </c>
      <c r="D10" s="15" t="inlineStr">
        <is>
          <t>EQ-004</t>
        </is>
      </c>
      <c r="E10" s="15" t="inlineStr">
        <is>
          <t>EQ-006</t>
        </is>
      </c>
      <c r="F10" s="15" t="inlineStr">
        <is>
          <t>C5</t>
        </is>
      </c>
      <c r="G10" s="15" t="inlineStr">
        <is>
          <t>SOURCE-CODED</t>
        </is>
      </c>
      <c r="H10" s="15" t="inlineStr">
        <is>
          <t>Topological placeholder; branch-specific dependencies override simple serial adjacency.</t>
        </is>
      </c>
    </row>
    <row r="11">
      <c r="A11" s="15" t="inlineStr">
        <is>
          <t>LIN-006</t>
        </is>
      </c>
      <c r="B11" s="15" t="inlineStr">
        <is>
          <t>EQ-006</t>
        </is>
      </c>
      <c r="C11" s="15" t="inlineStr">
        <is>
          <t>NCG</t>
        </is>
      </c>
      <c r="D11" s="15" t="inlineStr">
        <is>
          <t>EQ-005</t>
        </is>
      </c>
      <c r="E11" s="15" t="inlineStr">
        <is>
          <t>EQ-007</t>
        </is>
      </c>
      <c r="F11" s="15" t="inlineStr">
        <is>
          <t>C5</t>
        </is>
      </c>
      <c r="G11" s="15" t="inlineStr">
        <is>
          <t>SOURCE-CODED</t>
        </is>
      </c>
      <c r="H11" s="15" t="inlineStr">
        <is>
          <t>Topological placeholder; branch-specific dependencies override simple serial adjacency.</t>
        </is>
      </c>
    </row>
    <row r="12">
      <c r="A12" s="15" t="inlineStr">
        <is>
          <t>LIN-007</t>
        </is>
      </c>
      <c r="B12" s="15" t="inlineStr">
        <is>
          <t>EQ-007</t>
        </is>
      </c>
      <c r="C12" s="15" t="inlineStr">
        <is>
          <t>NCG</t>
        </is>
      </c>
      <c r="D12" s="15" t="inlineStr">
        <is>
          <t>EQ-006</t>
        </is>
      </c>
      <c r="E12" s="15" t="inlineStr">
        <is>
          <t>EQ-008</t>
        </is>
      </c>
      <c r="F12" s="15" t="inlineStr">
        <is>
          <t>C5</t>
        </is>
      </c>
      <c r="G12" s="15" t="inlineStr">
        <is>
          <t>SOURCE-CODED</t>
        </is>
      </c>
      <c r="H12" s="15" t="inlineStr">
        <is>
          <t>Topological placeholder; branch-specific dependencies override simple serial adjacency.</t>
        </is>
      </c>
    </row>
    <row r="13">
      <c r="A13" s="15" t="inlineStr">
        <is>
          <t>LIN-008</t>
        </is>
      </c>
      <c r="B13" s="15" t="inlineStr">
        <is>
          <t>EQ-008</t>
        </is>
      </c>
      <c r="C13" s="15" t="inlineStr">
        <is>
          <t>NCG</t>
        </is>
      </c>
      <c r="D13" s="15" t="inlineStr">
        <is>
          <t>EQ-007</t>
        </is>
      </c>
      <c r="E13" s="15" t="inlineStr">
        <is>
          <t>EQ-009</t>
        </is>
      </c>
      <c r="F13" s="15" t="inlineStr">
        <is>
          <t>C5</t>
        </is>
      </c>
      <c r="G13" s="15" t="inlineStr">
        <is>
          <t>SOURCE-CODED</t>
        </is>
      </c>
      <c r="H13" s="15" t="inlineStr">
        <is>
          <t>Topological placeholder; branch-specific dependencies override simple serial adjacency.</t>
        </is>
      </c>
    </row>
    <row r="14">
      <c r="A14" s="15" t="inlineStr">
        <is>
          <t>LIN-009</t>
        </is>
      </c>
      <c r="B14" s="15" t="inlineStr">
        <is>
          <t>EQ-009</t>
        </is>
      </c>
      <c r="C14" s="15" t="inlineStr">
        <is>
          <t>NCG</t>
        </is>
      </c>
      <c r="D14" s="15" t="inlineStr">
        <is>
          <t>EQ-008</t>
        </is>
      </c>
      <c r="E14" s="15" t="inlineStr">
        <is>
          <t>EQ-010</t>
        </is>
      </c>
      <c r="F14" s="15" t="inlineStr">
        <is>
          <t>C5</t>
        </is>
      </c>
      <c r="G14" s="15" t="inlineStr">
        <is>
          <t>SOURCE-CODED</t>
        </is>
      </c>
      <c r="H14" s="15" t="inlineStr">
        <is>
          <t>Topological placeholder; branch-specific dependencies override simple serial adjacency.</t>
        </is>
      </c>
    </row>
    <row r="15">
      <c r="A15" s="15" t="inlineStr">
        <is>
          <t>LIN-010</t>
        </is>
      </c>
      <c r="B15" s="15" t="inlineStr">
        <is>
          <t>EQ-010</t>
        </is>
      </c>
      <c r="C15" s="15" t="inlineStr">
        <is>
          <t>NCG</t>
        </is>
      </c>
      <c r="D15" s="15" t="inlineStr">
        <is>
          <t>EQ-009</t>
        </is>
      </c>
      <c r="E15" s="15" t="inlineStr">
        <is>
          <t>EQ-011</t>
        </is>
      </c>
      <c r="F15" s="15" t="inlineStr">
        <is>
          <t>C5</t>
        </is>
      </c>
      <c r="G15" s="15" t="inlineStr">
        <is>
          <t>SOURCE-CODED</t>
        </is>
      </c>
      <c r="H15" s="15" t="inlineStr">
        <is>
          <t>Topological placeholder; branch-specific dependencies override simple serial adjacency.</t>
        </is>
      </c>
    </row>
    <row r="16">
      <c r="A16" s="15" t="inlineStr">
        <is>
          <t>LIN-011</t>
        </is>
      </c>
      <c r="B16" s="15" t="inlineStr">
        <is>
          <t>EQ-011</t>
        </is>
      </c>
      <c r="C16" s="15" t="inlineStr">
        <is>
          <t>NCG</t>
        </is>
      </c>
      <c r="D16" s="15" t="inlineStr">
        <is>
          <t>EQ-010</t>
        </is>
      </c>
      <c r="E16" s="15" t="inlineStr">
        <is>
          <t>EQ-012</t>
        </is>
      </c>
      <c r="F16" s="15" t="inlineStr">
        <is>
          <t>C5</t>
        </is>
      </c>
      <c r="G16" s="15" t="inlineStr">
        <is>
          <t>SOURCE-CODED</t>
        </is>
      </c>
      <c r="H16" s="15" t="inlineStr">
        <is>
          <t>Topological placeholder; branch-specific dependencies override simple serial adjacency.</t>
        </is>
      </c>
    </row>
    <row r="17">
      <c r="A17" s="15" t="inlineStr">
        <is>
          <t>LIN-012</t>
        </is>
      </c>
      <c r="B17" s="15" t="inlineStr">
        <is>
          <t>EQ-012</t>
        </is>
      </c>
      <c r="C17" s="15" t="inlineStr">
        <is>
          <t>NCG</t>
        </is>
      </c>
      <c r="D17" s="15" t="inlineStr">
        <is>
          <t>EQ-011</t>
        </is>
      </c>
      <c r="E17" s="15" t="inlineStr">
        <is>
          <t>EQ-013</t>
        </is>
      </c>
      <c r="F17" s="15" t="inlineStr">
        <is>
          <t>C5</t>
        </is>
      </c>
      <c r="G17" s="15" t="inlineStr">
        <is>
          <t>SOURCE-CODED</t>
        </is>
      </c>
      <c r="H17" s="15" t="inlineStr">
        <is>
          <t>Topological placeholder; branch-specific dependencies override simple serial adjacency.</t>
        </is>
      </c>
    </row>
    <row r="18">
      <c r="A18" s="15" t="inlineStr">
        <is>
          <t>LIN-013</t>
        </is>
      </c>
      <c r="B18" s="15" t="inlineStr">
        <is>
          <t>EQ-013</t>
        </is>
      </c>
      <c r="C18" s="15" t="inlineStr">
        <is>
          <t>NCG</t>
        </is>
      </c>
      <c r="D18" s="15" t="inlineStr">
        <is>
          <t>EQ-012</t>
        </is>
      </c>
      <c r="E18" s="15" t="inlineStr">
        <is>
          <t>EQ-014</t>
        </is>
      </c>
      <c r="F18" s="15" t="inlineStr">
        <is>
          <t>C5</t>
        </is>
      </c>
      <c r="G18" s="15" t="inlineStr">
        <is>
          <t>SOURCE-CODED</t>
        </is>
      </c>
      <c r="H18" s="15" t="inlineStr">
        <is>
          <t>Topological placeholder; branch-specific dependencies override simple serial adjacency.</t>
        </is>
      </c>
    </row>
    <row r="19">
      <c r="A19" s="15" t="inlineStr">
        <is>
          <t>LIN-014</t>
        </is>
      </c>
      <c r="B19" s="15" t="inlineStr">
        <is>
          <t>EQ-014</t>
        </is>
      </c>
      <c r="C19" s="15" t="inlineStr">
        <is>
          <t>NCG</t>
        </is>
      </c>
      <c r="D19" s="15" t="inlineStr">
        <is>
          <t>EQ-013</t>
        </is>
      </c>
      <c r="E19" s="15" t="inlineStr">
        <is>
          <t>EQ-015</t>
        </is>
      </c>
      <c r="F19" s="15" t="inlineStr">
        <is>
          <t>C5</t>
        </is>
      </c>
      <c r="G19" s="15" t="inlineStr">
        <is>
          <t>SOURCE-CODED</t>
        </is>
      </c>
      <c r="H19" s="15" t="inlineStr">
        <is>
          <t>Topological placeholder; branch-specific dependencies override simple serial adjacency.</t>
        </is>
      </c>
    </row>
    <row r="20">
      <c r="A20" s="15" t="inlineStr">
        <is>
          <t>LIN-015</t>
        </is>
      </c>
      <c r="B20" s="15" t="inlineStr">
        <is>
          <t>EQ-015</t>
        </is>
      </c>
      <c r="C20" s="15" t="inlineStr">
        <is>
          <t>NCG</t>
        </is>
      </c>
      <c r="D20" s="15" t="inlineStr">
        <is>
          <t>EQ-014</t>
        </is>
      </c>
      <c r="E20" s="15" t="inlineStr">
        <is>
          <t>EQ-016</t>
        </is>
      </c>
      <c r="F20" s="15" t="inlineStr">
        <is>
          <t>C5</t>
        </is>
      </c>
      <c r="G20" s="15" t="inlineStr">
        <is>
          <t>SOURCE-CODED</t>
        </is>
      </c>
      <c r="H20" s="15" t="inlineStr">
        <is>
          <t>Topological placeholder; branch-specific dependencies override simple serial adjacency.</t>
        </is>
      </c>
    </row>
    <row r="21">
      <c r="A21" s="15" t="inlineStr">
        <is>
          <t>LIN-016</t>
        </is>
      </c>
      <c r="B21" s="15" t="inlineStr">
        <is>
          <t>EQ-016</t>
        </is>
      </c>
      <c r="C21" s="15" t="inlineStr">
        <is>
          <t>NCG</t>
        </is>
      </c>
      <c r="D21" s="15" t="inlineStr">
        <is>
          <t>EQ-015</t>
        </is>
      </c>
      <c r="E21" s="15" t="inlineStr">
        <is>
          <t>EQ-017</t>
        </is>
      </c>
      <c r="F21" s="15" t="inlineStr">
        <is>
          <t>C5</t>
        </is>
      </c>
      <c r="G21" s="15" t="inlineStr">
        <is>
          <t>SOURCE-CODED</t>
        </is>
      </c>
      <c r="H21" s="15" t="inlineStr">
        <is>
          <t>Topological placeholder; branch-specific dependencies override simple serial adjacency.</t>
        </is>
      </c>
    </row>
    <row r="22">
      <c r="A22" s="15" t="inlineStr">
        <is>
          <t>LIN-017</t>
        </is>
      </c>
      <c r="B22" s="15" t="inlineStr">
        <is>
          <t>EQ-017</t>
        </is>
      </c>
      <c r="C22" s="15" t="inlineStr">
        <is>
          <t>NCG</t>
        </is>
      </c>
      <c r="D22" s="15" t="inlineStr">
        <is>
          <t>EQ-016</t>
        </is>
      </c>
      <c r="E22" s="15" t="inlineStr">
        <is>
          <t>EQ-018</t>
        </is>
      </c>
      <c r="F22" s="15" t="inlineStr">
        <is>
          <t>C5</t>
        </is>
      </c>
      <c r="G22" s="15" t="inlineStr">
        <is>
          <t>SOURCE-CODED</t>
        </is>
      </c>
      <c r="H22" s="15" t="inlineStr">
        <is>
          <t>Topological placeholder; branch-specific dependencies override simple serial adjacency.</t>
        </is>
      </c>
    </row>
    <row r="23">
      <c r="A23" s="15" t="inlineStr">
        <is>
          <t>LIN-018</t>
        </is>
      </c>
      <c r="B23" s="15" t="inlineStr">
        <is>
          <t>EQ-018</t>
        </is>
      </c>
      <c r="C23" s="15" t="inlineStr">
        <is>
          <t>NCG</t>
        </is>
      </c>
      <c r="D23" s="15" t="inlineStr">
        <is>
          <t>EQ-017</t>
        </is>
      </c>
      <c r="E23" s="15" t="inlineStr">
        <is>
          <t>EQ-019</t>
        </is>
      </c>
      <c r="F23" s="15" t="inlineStr">
        <is>
          <t>C5</t>
        </is>
      </c>
      <c r="G23" s="15" t="inlineStr">
        <is>
          <t>SOURCE-CODED</t>
        </is>
      </c>
      <c r="H23" s="15" t="inlineStr">
        <is>
          <t>Topological placeholder; branch-specific dependencies override simple serial adjacency.</t>
        </is>
      </c>
    </row>
    <row r="24">
      <c r="A24" s="15" t="inlineStr">
        <is>
          <t>LIN-019</t>
        </is>
      </c>
      <c r="B24" s="15" t="inlineStr">
        <is>
          <t>EQ-019</t>
        </is>
      </c>
      <c r="C24" s="15" t="inlineStr">
        <is>
          <t>NCG</t>
        </is>
      </c>
      <c r="D24" s="15" t="inlineStr">
        <is>
          <t>EQ-018</t>
        </is>
      </c>
      <c r="E24" s="15" t="inlineStr">
        <is>
          <t>EQ-020</t>
        </is>
      </c>
      <c r="F24" s="15" t="inlineStr">
        <is>
          <t>C5</t>
        </is>
      </c>
      <c r="G24" s="15" t="inlineStr">
        <is>
          <t>SOURCE-CODED</t>
        </is>
      </c>
      <c r="H24" s="15" t="inlineStr">
        <is>
          <t>Topological placeholder; branch-specific dependencies override simple serial adjacency.</t>
        </is>
      </c>
    </row>
    <row r="25">
      <c r="A25" s="15" t="inlineStr">
        <is>
          <t>LIN-020</t>
        </is>
      </c>
      <c r="B25" s="15" t="inlineStr">
        <is>
          <t>EQ-020</t>
        </is>
      </c>
      <c r="C25" s="15" t="inlineStr">
        <is>
          <t>NCG</t>
        </is>
      </c>
      <c r="D25" s="15" t="inlineStr">
        <is>
          <t>EQ-019</t>
        </is>
      </c>
      <c r="E25" s="15" t="inlineStr">
        <is>
          <t>EQ-021</t>
        </is>
      </c>
      <c r="F25" s="15" t="inlineStr">
        <is>
          <t>C5</t>
        </is>
      </c>
      <c r="G25" s="15" t="inlineStr">
        <is>
          <t>SOURCE-CODED</t>
        </is>
      </c>
      <c r="H25" s="15" t="inlineStr">
        <is>
          <t>Topological placeholder; branch-specific dependencies override simple serial adjacency.</t>
        </is>
      </c>
    </row>
    <row r="26">
      <c r="A26" s="15" t="inlineStr">
        <is>
          <t>LIN-021</t>
        </is>
      </c>
      <c r="B26" s="15" t="inlineStr">
        <is>
          <t>EQ-021</t>
        </is>
      </c>
      <c r="C26" s="15" t="inlineStr">
        <is>
          <t>NCG</t>
        </is>
      </c>
      <c r="D26" s="15" t="inlineStr">
        <is>
          <t>EQ-020</t>
        </is>
      </c>
      <c r="E26" s="15" t="inlineStr">
        <is>
          <t>EQ-022</t>
        </is>
      </c>
      <c r="F26" s="15" t="inlineStr">
        <is>
          <t>C5</t>
        </is>
      </c>
      <c r="G26" s="15" t="inlineStr">
        <is>
          <t>SOURCE-CODED</t>
        </is>
      </c>
      <c r="H26" s="15" t="inlineStr">
        <is>
          <t>Topological placeholder; branch-specific dependencies override simple serial adjacency.</t>
        </is>
      </c>
    </row>
    <row r="27">
      <c r="A27" s="15" t="inlineStr">
        <is>
          <t>LIN-022</t>
        </is>
      </c>
      <c r="B27" s="15" t="inlineStr">
        <is>
          <t>EQ-022</t>
        </is>
      </c>
      <c r="C27" s="15" t="inlineStr">
        <is>
          <t>NCG</t>
        </is>
      </c>
      <c r="D27" s="15" t="inlineStr">
        <is>
          <t>EQ-021</t>
        </is>
      </c>
      <c r="E27" s="15" t="inlineStr">
        <is>
          <t>EQ-023</t>
        </is>
      </c>
      <c r="F27" s="15" t="inlineStr">
        <is>
          <t>C5</t>
        </is>
      </c>
      <c r="G27" s="15" t="inlineStr">
        <is>
          <t>SOURCE-CODED</t>
        </is>
      </c>
      <c r="H27" s="15" t="inlineStr">
        <is>
          <t>Topological placeholder; branch-specific dependencies override simple serial adjacency.</t>
        </is>
      </c>
    </row>
    <row r="28">
      <c r="A28" s="15" t="inlineStr">
        <is>
          <t>LIN-023</t>
        </is>
      </c>
      <c r="B28" s="15" t="inlineStr">
        <is>
          <t>EQ-023</t>
        </is>
      </c>
      <c r="C28" s="15" t="inlineStr">
        <is>
          <t>NCG</t>
        </is>
      </c>
      <c r="D28" s="15" t="inlineStr">
        <is>
          <t>EQ-022</t>
        </is>
      </c>
      <c r="E28" s="15" t="inlineStr">
        <is>
          <t>EQ-024</t>
        </is>
      </c>
      <c r="F28" s="15" t="inlineStr">
        <is>
          <t>C5</t>
        </is>
      </c>
      <c r="G28" s="15" t="inlineStr">
        <is>
          <t>SOURCE-CODED</t>
        </is>
      </c>
      <c r="H28" s="15" t="inlineStr">
        <is>
          <t>Topological placeholder; branch-specific dependencies override simple serial adjacency.</t>
        </is>
      </c>
    </row>
    <row r="29">
      <c r="A29" s="15" t="inlineStr">
        <is>
          <t>LIN-024</t>
        </is>
      </c>
      <c r="B29" s="15" t="inlineStr">
        <is>
          <t>EQ-024</t>
        </is>
      </c>
      <c r="C29" s="15" t="inlineStr">
        <is>
          <t>NCG</t>
        </is>
      </c>
      <c r="D29" s="15" t="inlineStr">
        <is>
          <t>EQ-023</t>
        </is>
      </c>
      <c r="E29" s="15" t="inlineStr">
        <is>
          <t>EQ-025</t>
        </is>
      </c>
      <c r="F29" s="15" t="inlineStr">
        <is>
          <t>C5</t>
        </is>
      </c>
      <c r="G29" s="15" t="inlineStr">
        <is>
          <t>SOURCE-CODED</t>
        </is>
      </c>
      <c r="H29" s="15" t="inlineStr">
        <is>
          <t>Topological placeholder; branch-specific dependencies override simple serial adjacency.</t>
        </is>
      </c>
    </row>
    <row r="30">
      <c r="A30" s="15" t="inlineStr">
        <is>
          <t>LIN-025</t>
        </is>
      </c>
      <c r="B30" s="15" t="inlineStr">
        <is>
          <t>EQ-025</t>
        </is>
      </c>
      <c r="C30" s="15" t="inlineStr">
        <is>
          <t>NCG</t>
        </is>
      </c>
      <c r="D30" s="15" t="inlineStr">
        <is>
          <t>EQ-024</t>
        </is>
      </c>
      <c r="E30" s="15" t="inlineStr">
        <is>
          <t>EQ-026</t>
        </is>
      </c>
      <c r="F30" s="15" t="inlineStr">
        <is>
          <t>C5</t>
        </is>
      </c>
      <c r="G30" s="15" t="inlineStr">
        <is>
          <t>SOURCE-CODED</t>
        </is>
      </c>
      <c r="H30" s="15" t="inlineStr">
        <is>
          <t>Topological placeholder; branch-specific dependencies override simple serial adjacency.</t>
        </is>
      </c>
    </row>
    <row r="31">
      <c r="A31" s="15" t="inlineStr">
        <is>
          <t>LIN-026</t>
        </is>
      </c>
      <c r="B31" s="15" t="inlineStr">
        <is>
          <t>EQ-026</t>
        </is>
      </c>
      <c r="C31" s="15" t="inlineStr">
        <is>
          <t>NCG</t>
        </is>
      </c>
      <c r="D31" s="15" t="inlineStr">
        <is>
          <t>EQ-025</t>
        </is>
      </c>
      <c r="E31" s="15" t="inlineStr">
        <is>
          <t>EQ-027</t>
        </is>
      </c>
      <c r="F31" s="15" t="inlineStr">
        <is>
          <t>C5</t>
        </is>
      </c>
      <c r="G31" s="15" t="inlineStr">
        <is>
          <t>SOURCE-CODED</t>
        </is>
      </c>
      <c r="H31" s="15" t="inlineStr">
        <is>
          <t>Topological placeholder; branch-specific dependencies override simple serial adjacency.</t>
        </is>
      </c>
    </row>
    <row r="32">
      <c r="A32" s="15" t="inlineStr">
        <is>
          <t>LIN-027</t>
        </is>
      </c>
      <c r="B32" s="15" t="inlineStr">
        <is>
          <t>EQ-027</t>
        </is>
      </c>
      <c r="C32" s="15" t="inlineStr">
        <is>
          <t>NCG</t>
        </is>
      </c>
      <c r="D32" s="15" t="inlineStr">
        <is>
          <t>EQ-026</t>
        </is>
      </c>
      <c r="E32" s="15" t="inlineStr">
        <is>
          <t>EQ-028</t>
        </is>
      </c>
      <c r="F32" s="15" t="inlineStr">
        <is>
          <t>C5</t>
        </is>
      </c>
      <c r="G32" s="15" t="inlineStr">
        <is>
          <t>SOURCE-CODED</t>
        </is>
      </c>
      <c r="H32" s="15" t="inlineStr">
        <is>
          <t>Topological placeholder; branch-specific dependencies override simple serial adjacency.</t>
        </is>
      </c>
    </row>
    <row r="33">
      <c r="A33" s="15" t="inlineStr">
        <is>
          <t>LIN-028</t>
        </is>
      </c>
      <c r="B33" s="15" t="inlineStr">
        <is>
          <t>EQ-028</t>
        </is>
      </c>
      <c r="C33" s="15" t="inlineStr">
        <is>
          <t>NCG</t>
        </is>
      </c>
      <c r="D33" s="15" t="inlineStr">
        <is>
          <t>EQ-027</t>
        </is>
      </c>
      <c r="E33" s="15" t="inlineStr">
        <is>
          <t>EQ-029</t>
        </is>
      </c>
      <c r="F33" s="15" t="inlineStr">
        <is>
          <t>C5</t>
        </is>
      </c>
      <c r="G33" s="15" t="inlineStr">
        <is>
          <t>SOURCE-CODED</t>
        </is>
      </c>
      <c r="H33" s="15" t="inlineStr">
        <is>
          <t>Topological placeholder; branch-specific dependencies override simple serial adjacency.</t>
        </is>
      </c>
    </row>
    <row r="34">
      <c r="A34" s="15" t="inlineStr">
        <is>
          <t>LIN-029</t>
        </is>
      </c>
      <c r="B34" s="15" t="inlineStr">
        <is>
          <t>EQ-029</t>
        </is>
      </c>
      <c r="C34" s="15" t="inlineStr">
        <is>
          <t>NCG</t>
        </is>
      </c>
      <c r="D34" s="15" t="inlineStr">
        <is>
          <t>EQ-028</t>
        </is>
      </c>
      <c r="E34" s="15" t="inlineStr">
        <is>
          <t>EQ-030</t>
        </is>
      </c>
      <c r="F34" s="15" t="inlineStr">
        <is>
          <t>C5</t>
        </is>
      </c>
      <c r="G34" s="15" t="inlineStr">
        <is>
          <t>SOURCE-CODED</t>
        </is>
      </c>
      <c r="H34" s="15" t="inlineStr">
        <is>
          <t>Topological placeholder; branch-specific dependencies override simple serial adjacency.</t>
        </is>
      </c>
    </row>
    <row r="35">
      <c r="A35" s="15" t="inlineStr">
        <is>
          <t>LIN-030</t>
        </is>
      </c>
      <c r="B35" s="15" t="inlineStr">
        <is>
          <t>EQ-030</t>
        </is>
      </c>
      <c r="C35" s="15" t="inlineStr">
        <is>
          <t>NCG</t>
        </is>
      </c>
      <c r="D35" s="15" t="inlineStr">
        <is>
          <t>EQ-029</t>
        </is>
      </c>
      <c r="E35" s="15" t="inlineStr">
        <is>
          <t>EQ-031</t>
        </is>
      </c>
      <c r="F35" s="15" t="inlineStr">
        <is>
          <t>C5</t>
        </is>
      </c>
      <c r="G35" s="15" t="inlineStr">
        <is>
          <t>SOURCE-CODED</t>
        </is>
      </c>
      <c r="H35" s="15" t="inlineStr">
        <is>
          <t>Topological placeholder; branch-specific dependencies override simple serial adjacency.</t>
        </is>
      </c>
    </row>
    <row r="36">
      <c r="A36" s="15" t="inlineStr">
        <is>
          <t>LIN-031</t>
        </is>
      </c>
      <c r="B36" s="15" t="inlineStr">
        <is>
          <t>EQ-031</t>
        </is>
      </c>
      <c r="C36" s="15" t="inlineStr">
        <is>
          <t>NCG</t>
        </is>
      </c>
      <c r="D36" s="15" t="inlineStr">
        <is>
          <t>EQ-030</t>
        </is>
      </c>
      <c r="E36" s="15" t="inlineStr">
        <is>
          <t>EQ-032</t>
        </is>
      </c>
      <c r="F36" s="15" t="inlineStr">
        <is>
          <t>C5</t>
        </is>
      </c>
      <c r="G36" s="15" t="inlineStr">
        <is>
          <t>SOURCE-CODED</t>
        </is>
      </c>
      <c r="H36" s="15" t="inlineStr">
        <is>
          <t>Topological placeholder; branch-specific dependencies override simple serial adjacency.</t>
        </is>
      </c>
    </row>
    <row r="37">
      <c r="A37" s="15" t="inlineStr">
        <is>
          <t>LIN-032</t>
        </is>
      </c>
      <c r="B37" s="15" t="inlineStr">
        <is>
          <t>EQ-032</t>
        </is>
      </c>
      <c r="C37" s="15" t="inlineStr">
        <is>
          <t>NCG</t>
        </is>
      </c>
      <c r="D37" s="15" t="inlineStr">
        <is>
          <t>EQ-031</t>
        </is>
      </c>
      <c r="E37" s="15" t="inlineStr">
        <is>
          <t>EQ-033</t>
        </is>
      </c>
      <c r="F37" s="15" t="inlineStr">
        <is>
          <t>C5</t>
        </is>
      </c>
      <c r="G37" s="15" t="inlineStr">
        <is>
          <t>SOURCE-CODED</t>
        </is>
      </c>
      <c r="H37" s="15" t="inlineStr">
        <is>
          <t>Topological placeholder; branch-specific dependencies override simple serial adjacency.</t>
        </is>
      </c>
    </row>
    <row r="38">
      <c r="A38" s="15" t="inlineStr">
        <is>
          <t>LIN-033</t>
        </is>
      </c>
      <c r="B38" s="15" t="inlineStr">
        <is>
          <t>EQ-033</t>
        </is>
      </c>
      <c r="C38" s="15" t="inlineStr">
        <is>
          <t>NCG</t>
        </is>
      </c>
      <c r="D38" s="15" t="inlineStr">
        <is>
          <t>EQ-032</t>
        </is>
      </c>
      <c r="E38" s="15" t="inlineStr">
        <is>
          <t>EQ-034</t>
        </is>
      </c>
      <c r="F38" s="15" t="inlineStr">
        <is>
          <t>C5</t>
        </is>
      </c>
      <c r="G38" s="15" t="inlineStr">
        <is>
          <t>SOURCE-CODED</t>
        </is>
      </c>
      <c r="H38" s="15" t="inlineStr">
        <is>
          <t>Topological placeholder; branch-specific dependencies override simple serial adjacency.</t>
        </is>
      </c>
    </row>
    <row r="39">
      <c r="A39" s="15" t="inlineStr">
        <is>
          <t>LIN-034</t>
        </is>
      </c>
      <c r="B39" s="15" t="inlineStr">
        <is>
          <t>EQ-034</t>
        </is>
      </c>
      <c r="C39" s="15" t="inlineStr">
        <is>
          <t>NCG</t>
        </is>
      </c>
      <c r="D39" s="15" t="inlineStr">
        <is>
          <t>EQ-033</t>
        </is>
      </c>
      <c r="E39" s="15" t="inlineStr">
        <is>
          <t>EQ-035</t>
        </is>
      </c>
      <c r="F39" s="15" t="inlineStr">
        <is>
          <t>C5</t>
        </is>
      </c>
      <c r="G39" s="15" t="inlineStr">
        <is>
          <t>SOURCE-CODED</t>
        </is>
      </c>
      <c r="H39" s="15" t="inlineStr">
        <is>
          <t>Topological placeholder; branch-specific dependencies override simple serial adjacency.</t>
        </is>
      </c>
    </row>
    <row r="40">
      <c r="A40" s="15" t="inlineStr">
        <is>
          <t>LIN-035</t>
        </is>
      </c>
      <c r="B40" s="15" t="inlineStr">
        <is>
          <t>EQ-035</t>
        </is>
      </c>
      <c r="C40" s="15" t="inlineStr">
        <is>
          <t>NCG</t>
        </is>
      </c>
      <c r="D40" s="15" t="inlineStr">
        <is>
          <t>EQ-034</t>
        </is>
      </c>
      <c r="E40" s="15" t="inlineStr">
        <is>
          <t>EQ-036</t>
        </is>
      </c>
      <c r="F40" s="15" t="inlineStr">
        <is>
          <t>C5</t>
        </is>
      </c>
      <c r="G40" s="15" t="inlineStr">
        <is>
          <t>SOURCE-CODED</t>
        </is>
      </c>
      <c r="H40" s="15" t="inlineStr">
        <is>
          <t>Topological placeholder; branch-specific dependencies override simple serial adjacency.</t>
        </is>
      </c>
    </row>
    <row r="41">
      <c r="A41" s="15" t="inlineStr">
        <is>
          <t>LIN-036</t>
        </is>
      </c>
      <c r="B41" s="15" t="inlineStr">
        <is>
          <t>EQ-036</t>
        </is>
      </c>
      <c r="C41" s="15" t="inlineStr">
        <is>
          <t>NCG</t>
        </is>
      </c>
      <c r="D41" s="15" t="inlineStr">
        <is>
          <t>EQ-035</t>
        </is>
      </c>
      <c r="E41" s="15" t="inlineStr">
        <is>
          <t>EQ-037</t>
        </is>
      </c>
      <c r="F41" s="15" t="inlineStr">
        <is>
          <t>C5</t>
        </is>
      </c>
      <c r="G41" s="15" t="inlineStr">
        <is>
          <t>SOURCE-CODED</t>
        </is>
      </c>
      <c r="H41" s="15" t="inlineStr">
        <is>
          <t>Topological placeholder; branch-specific dependencies override simple serial adjacency.</t>
        </is>
      </c>
    </row>
    <row r="42">
      <c r="A42" s="15" t="inlineStr">
        <is>
          <t>LIN-037</t>
        </is>
      </c>
      <c r="B42" s="15" t="inlineStr">
        <is>
          <t>EQ-037</t>
        </is>
      </c>
      <c r="C42" s="15" t="inlineStr">
        <is>
          <t>Spectral Graph</t>
        </is>
      </c>
      <c r="D42" s="15" t="inlineStr">
        <is>
          <t>EQ-036</t>
        </is>
      </c>
      <c r="E42" s="15" t="inlineStr">
        <is>
          <t>EQ-038</t>
        </is>
      </c>
      <c r="F42" s="15" t="inlineStr">
        <is>
          <t>C2</t>
        </is>
      </c>
      <c r="G42" s="15" t="inlineStr">
        <is>
          <t>SOURCE-CODED</t>
        </is>
      </c>
      <c r="H42" s="15" t="inlineStr">
        <is>
          <t>Topological placeholder; branch-specific dependencies override simple serial adjacency.</t>
        </is>
      </c>
    </row>
    <row r="43">
      <c r="A43" s="15" t="inlineStr">
        <is>
          <t>LIN-038</t>
        </is>
      </c>
      <c r="B43" s="15" t="inlineStr">
        <is>
          <t>EQ-038</t>
        </is>
      </c>
      <c r="C43" s="15" t="inlineStr">
        <is>
          <t>Spectral Graph</t>
        </is>
      </c>
      <c r="D43" s="15" t="inlineStr">
        <is>
          <t>EQ-037</t>
        </is>
      </c>
      <c r="E43" s="15" t="inlineStr">
        <is>
          <t>EQ-039</t>
        </is>
      </c>
      <c r="F43" s="15" t="inlineStr">
        <is>
          <t>C2</t>
        </is>
      </c>
      <c r="G43" s="15" t="inlineStr">
        <is>
          <t>SOURCE-CODED</t>
        </is>
      </c>
      <c r="H43" s="15" t="inlineStr">
        <is>
          <t>Topological placeholder; branch-specific dependencies override simple serial adjacency.</t>
        </is>
      </c>
    </row>
    <row r="44">
      <c r="A44" s="15" t="inlineStr">
        <is>
          <t>LIN-039</t>
        </is>
      </c>
      <c r="B44" s="15" t="inlineStr">
        <is>
          <t>EQ-039</t>
        </is>
      </c>
      <c r="C44" s="15" t="inlineStr">
        <is>
          <t>Spectral Graph</t>
        </is>
      </c>
      <c r="D44" s="15" t="inlineStr">
        <is>
          <t>EQ-038</t>
        </is>
      </c>
      <c r="E44" s="15" t="inlineStr">
        <is>
          <t>EQ-040</t>
        </is>
      </c>
      <c r="F44" s="15" t="inlineStr">
        <is>
          <t>C2</t>
        </is>
      </c>
      <c r="G44" s="15" t="inlineStr">
        <is>
          <t>SOURCE-CODED</t>
        </is>
      </c>
      <c r="H44" s="15" t="inlineStr">
        <is>
          <t>Topological placeholder; branch-specific dependencies override simple serial adjacency.</t>
        </is>
      </c>
    </row>
    <row r="45">
      <c r="A45" s="15" t="inlineStr">
        <is>
          <t>LIN-040</t>
        </is>
      </c>
      <c r="B45" s="15" t="inlineStr">
        <is>
          <t>EQ-040</t>
        </is>
      </c>
      <c r="C45" s="15" t="inlineStr">
        <is>
          <t>Spectral Graph</t>
        </is>
      </c>
      <c r="D45" s="15" t="inlineStr">
        <is>
          <t>EQ-039</t>
        </is>
      </c>
      <c r="E45" s="15" t="inlineStr">
        <is>
          <t>EQ-041</t>
        </is>
      </c>
      <c r="F45" s="15" t="inlineStr">
        <is>
          <t>C2</t>
        </is>
      </c>
      <c r="G45" s="15" t="inlineStr">
        <is>
          <t>SOURCE-CODED</t>
        </is>
      </c>
      <c r="H45" s="15" t="inlineStr">
        <is>
          <t>Topological placeholder; branch-specific dependencies override simple serial adjacency.</t>
        </is>
      </c>
    </row>
    <row r="46">
      <c r="A46" s="15" t="inlineStr">
        <is>
          <t>LIN-041</t>
        </is>
      </c>
      <c r="B46" s="15" t="inlineStr">
        <is>
          <t>EQ-041</t>
        </is>
      </c>
      <c r="C46" s="15" t="inlineStr">
        <is>
          <t>Spectral Graph</t>
        </is>
      </c>
      <c r="D46" s="15" t="inlineStr">
        <is>
          <t>EQ-040</t>
        </is>
      </c>
      <c r="E46" s="15" t="inlineStr">
        <is>
          <t>EQ-042</t>
        </is>
      </c>
      <c r="F46" s="15" t="inlineStr">
        <is>
          <t>C2</t>
        </is>
      </c>
      <c r="G46" s="15" t="inlineStr">
        <is>
          <t>SOURCE-CODED</t>
        </is>
      </c>
      <c r="H46" s="15" t="inlineStr">
        <is>
          <t>Topological placeholder; branch-specific dependencies override simple serial adjacency.</t>
        </is>
      </c>
    </row>
    <row r="47">
      <c r="A47" s="15" t="inlineStr">
        <is>
          <t>LIN-042</t>
        </is>
      </c>
      <c r="B47" s="15" t="inlineStr">
        <is>
          <t>EQ-042</t>
        </is>
      </c>
      <c r="C47" s="15" t="inlineStr">
        <is>
          <t>Spectral Graph</t>
        </is>
      </c>
      <c r="D47" s="15" t="inlineStr">
        <is>
          <t>EQ-041</t>
        </is>
      </c>
      <c r="E47" s="15" t="inlineStr">
        <is>
          <t>EQ-043</t>
        </is>
      </c>
      <c r="F47" s="15" t="inlineStr">
        <is>
          <t>C2</t>
        </is>
      </c>
      <c r="G47" s="15" t="inlineStr">
        <is>
          <t>SOURCE-CODED</t>
        </is>
      </c>
      <c r="H47" s="15" t="inlineStr">
        <is>
          <t>Topological placeholder; branch-specific dependencies override simple serial adjacency.</t>
        </is>
      </c>
    </row>
    <row r="48">
      <c r="A48" s="15" t="inlineStr">
        <is>
          <t>LIN-043</t>
        </is>
      </c>
      <c r="B48" s="15" t="inlineStr">
        <is>
          <t>EQ-043</t>
        </is>
      </c>
      <c r="C48" s="15" t="inlineStr">
        <is>
          <t>Spectral Graph</t>
        </is>
      </c>
      <c r="D48" s="15" t="inlineStr">
        <is>
          <t>EQ-042</t>
        </is>
      </c>
      <c r="E48" s="15" t="inlineStr">
        <is>
          <t>EQ-044</t>
        </is>
      </c>
      <c r="F48" s="15" t="inlineStr">
        <is>
          <t>C2</t>
        </is>
      </c>
      <c r="G48" s="15" t="inlineStr">
        <is>
          <t>SOURCE-CODED</t>
        </is>
      </c>
      <c r="H48" s="15" t="inlineStr">
        <is>
          <t>Topological placeholder; branch-specific dependencies override simple serial adjacency.</t>
        </is>
      </c>
    </row>
    <row r="49">
      <c r="A49" s="15" t="inlineStr">
        <is>
          <t>LIN-044</t>
        </is>
      </c>
      <c r="B49" s="15" t="inlineStr">
        <is>
          <t>EQ-044</t>
        </is>
      </c>
      <c r="C49" s="15" t="inlineStr">
        <is>
          <t>Spectral Graph</t>
        </is>
      </c>
      <c r="D49" s="15" t="inlineStr">
        <is>
          <t>EQ-043</t>
        </is>
      </c>
      <c r="E49" s="15" t="inlineStr">
        <is>
          <t>EQ-045</t>
        </is>
      </c>
      <c r="F49" s="15" t="inlineStr">
        <is>
          <t>C2</t>
        </is>
      </c>
      <c r="G49" s="15" t="inlineStr">
        <is>
          <t>SOURCE-CODED</t>
        </is>
      </c>
      <c r="H49" s="15" t="inlineStr">
        <is>
          <t>Topological placeholder; branch-specific dependencies override simple serial adjacency.</t>
        </is>
      </c>
    </row>
    <row r="50">
      <c r="A50" s="15" t="inlineStr">
        <is>
          <t>LIN-045</t>
        </is>
      </c>
      <c r="B50" s="15" t="inlineStr">
        <is>
          <t>EQ-045</t>
        </is>
      </c>
      <c r="C50" s="15" t="inlineStr">
        <is>
          <t>Spectral Graph</t>
        </is>
      </c>
      <c r="D50" s="15" t="inlineStr">
        <is>
          <t>EQ-044</t>
        </is>
      </c>
      <c r="E50" s="15" t="inlineStr">
        <is>
          <t>EQ-046</t>
        </is>
      </c>
      <c r="F50" s="15" t="inlineStr">
        <is>
          <t>C2</t>
        </is>
      </c>
      <c r="G50" s="15" t="inlineStr">
        <is>
          <t>SOURCE-CODED</t>
        </is>
      </c>
      <c r="H50" s="15" t="inlineStr">
        <is>
          <t>Topological placeholder; branch-specific dependencies override simple serial adjacency.</t>
        </is>
      </c>
    </row>
    <row r="51">
      <c r="A51" s="15" t="inlineStr">
        <is>
          <t>LIN-046</t>
        </is>
      </c>
      <c r="B51" s="15" t="inlineStr">
        <is>
          <t>EQ-046</t>
        </is>
      </c>
      <c r="C51" s="15" t="inlineStr">
        <is>
          <t>Spectral Graph</t>
        </is>
      </c>
      <c r="D51" s="15" t="inlineStr">
        <is>
          <t>EQ-045</t>
        </is>
      </c>
      <c r="E51" s="15" t="inlineStr">
        <is>
          <t>EQ-047</t>
        </is>
      </c>
      <c r="F51" s="15" t="inlineStr">
        <is>
          <t>C2</t>
        </is>
      </c>
      <c r="G51" s="15" t="inlineStr">
        <is>
          <t>SOURCE-CODED</t>
        </is>
      </c>
      <c r="H51" s="15" t="inlineStr">
        <is>
          <t>Topological placeholder; branch-specific dependencies override simple serial adjacency.</t>
        </is>
      </c>
    </row>
    <row r="52">
      <c r="A52" s="15" t="inlineStr">
        <is>
          <t>LIN-047</t>
        </is>
      </c>
      <c r="B52" s="15" t="inlineStr">
        <is>
          <t>EQ-047</t>
        </is>
      </c>
      <c r="C52" s="15" t="inlineStr">
        <is>
          <t>Spectral Graph</t>
        </is>
      </c>
      <c r="D52" s="15" t="inlineStr">
        <is>
          <t>EQ-046</t>
        </is>
      </c>
      <c r="E52" s="15" t="inlineStr">
        <is>
          <t>EQ-048</t>
        </is>
      </c>
      <c r="F52" s="15" t="inlineStr">
        <is>
          <t>C2</t>
        </is>
      </c>
      <c r="G52" s="15" t="inlineStr">
        <is>
          <t>SOURCE-CODED</t>
        </is>
      </c>
      <c r="H52" s="15" t="inlineStr">
        <is>
          <t>Topological placeholder; branch-specific dependencies override simple serial adjacency.</t>
        </is>
      </c>
    </row>
    <row r="53">
      <c r="A53" s="15" t="inlineStr">
        <is>
          <t>LIN-048</t>
        </is>
      </c>
      <c r="B53" s="15" t="inlineStr">
        <is>
          <t>EQ-048</t>
        </is>
      </c>
      <c r="C53" s="15" t="inlineStr">
        <is>
          <t>Spectral Graph</t>
        </is>
      </c>
      <c r="D53" s="15" t="inlineStr">
        <is>
          <t>EQ-047</t>
        </is>
      </c>
      <c r="E53" s="15" t="inlineStr">
        <is>
          <t>EQ-049</t>
        </is>
      </c>
      <c r="F53" s="15" t="inlineStr">
        <is>
          <t>C2</t>
        </is>
      </c>
      <c r="G53" s="15" t="inlineStr">
        <is>
          <t>SOURCE-CODED</t>
        </is>
      </c>
      <c r="H53" s="15" t="inlineStr">
        <is>
          <t>Topological placeholder; branch-specific dependencies override simple serial adjacency.</t>
        </is>
      </c>
    </row>
    <row r="54">
      <c r="A54" s="15" t="inlineStr">
        <is>
          <t>LIN-049</t>
        </is>
      </c>
      <c r="B54" s="15" t="inlineStr">
        <is>
          <t>EQ-049</t>
        </is>
      </c>
      <c r="C54" s="15" t="inlineStr">
        <is>
          <t>Spectral Graph</t>
        </is>
      </c>
      <c r="D54" s="15" t="inlineStr">
        <is>
          <t>EQ-048</t>
        </is>
      </c>
      <c r="E54" s="15" t="inlineStr">
        <is>
          <t>EQ-050</t>
        </is>
      </c>
      <c r="F54" s="15" t="inlineStr">
        <is>
          <t>C2</t>
        </is>
      </c>
      <c r="G54" s="15" t="inlineStr">
        <is>
          <t>SOURCE-CODED</t>
        </is>
      </c>
      <c r="H54" s="15" t="inlineStr">
        <is>
          <t>Topological placeholder; branch-specific dependencies override simple serial adjacency.</t>
        </is>
      </c>
    </row>
    <row r="55">
      <c r="A55" s="15" t="inlineStr">
        <is>
          <t>LIN-050</t>
        </is>
      </c>
      <c r="B55" s="15" t="inlineStr">
        <is>
          <t>EQ-050</t>
        </is>
      </c>
      <c r="C55" s="15" t="inlineStr">
        <is>
          <t>Spectral Graph</t>
        </is>
      </c>
      <c r="D55" s="15" t="inlineStr">
        <is>
          <t>EQ-049</t>
        </is>
      </c>
      <c r="E55" s="15" t="inlineStr">
        <is>
          <t>EQ-051</t>
        </is>
      </c>
      <c r="F55" s="15" t="inlineStr">
        <is>
          <t>C2</t>
        </is>
      </c>
      <c r="G55" s="15" t="inlineStr">
        <is>
          <t>SOURCE-CODED</t>
        </is>
      </c>
      <c r="H55" s="15" t="inlineStr">
        <is>
          <t>Topological placeholder; branch-specific dependencies override simple serial adjacency.</t>
        </is>
      </c>
    </row>
    <row r="56">
      <c r="A56" s="15" t="inlineStr">
        <is>
          <t>LIN-051</t>
        </is>
      </c>
      <c r="B56" s="15" t="inlineStr">
        <is>
          <t>EQ-051</t>
        </is>
      </c>
      <c r="C56" s="15" t="inlineStr">
        <is>
          <t>Spectral Graph</t>
        </is>
      </c>
      <c r="D56" s="15" t="inlineStr">
        <is>
          <t>EQ-050</t>
        </is>
      </c>
      <c r="E56" s="15" t="inlineStr">
        <is>
          <t>EQ-052</t>
        </is>
      </c>
      <c r="F56" s="15" t="inlineStr">
        <is>
          <t>C2</t>
        </is>
      </c>
      <c r="G56" s="15" t="inlineStr">
        <is>
          <t>SOURCE-CODED</t>
        </is>
      </c>
      <c r="H56" s="15" t="inlineStr">
        <is>
          <t>Topological placeholder; branch-specific dependencies override simple serial adjacency.</t>
        </is>
      </c>
    </row>
    <row r="57">
      <c r="A57" s="15" t="inlineStr">
        <is>
          <t>LIN-052</t>
        </is>
      </c>
      <c r="B57" s="15" t="inlineStr">
        <is>
          <t>EQ-052</t>
        </is>
      </c>
      <c r="C57" s="15" t="inlineStr">
        <is>
          <t>Spectral Graph</t>
        </is>
      </c>
      <c r="D57" s="15" t="inlineStr">
        <is>
          <t>EQ-051</t>
        </is>
      </c>
      <c r="E57" s="15" t="inlineStr">
        <is>
          <t>EQ-053</t>
        </is>
      </c>
      <c r="F57" s="15" t="inlineStr">
        <is>
          <t>C2</t>
        </is>
      </c>
      <c r="G57" s="15" t="inlineStr">
        <is>
          <t>SOURCE-CODED</t>
        </is>
      </c>
      <c r="H57" s="15" t="inlineStr">
        <is>
          <t>Topological placeholder; branch-specific dependencies override simple serial adjacency.</t>
        </is>
      </c>
    </row>
    <row r="58">
      <c r="A58" s="15" t="inlineStr">
        <is>
          <t>LIN-053</t>
        </is>
      </c>
      <c r="B58" s="15" t="inlineStr">
        <is>
          <t>EQ-053</t>
        </is>
      </c>
      <c r="C58" s="15" t="inlineStr">
        <is>
          <t>Spectral Graph</t>
        </is>
      </c>
      <c r="D58" s="15" t="inlineStr">
        <is>
          <t>EQ-052</t>
        </is>
      </c>
      <c r="E58" s="15" t="inlineStr">
        <is>
          <t>EQ-054</t>
        </is>
      </c>
      <c r="F58" s="15" t="inlineStr">
        <is>
          <t>C2</t>
        </is>
      </c>
      <c r="G58" s="15" t="inlineStr">
        <is>
          <t>SOURCE-CODED</t>
        </is>
      </c>
      <c r="H58" s="15" t="inlineStr">
        <is>
          <t>Topological placeholder; branch-specific dependencies override simple serial adjacency.</t>
        </is>
      </c>
    </row>
    <row r="59">
      <c r="A59" s="15" t="inlineStr">
        <is>
          <t>LIN-054</t>
        </is>
      </c>
      <c r="B59" s="15" t="inlineStr">
        <is>
          <t>EQ-054</t>
        </is>
      </c>
      <c r="C59" s="15" t="inlineStr">
        <is>
          <t>Spectral Graph</t>
        </is>
      </c>
      <c r="D59" s="15" t="inlineStr">
        <is>
          <t>EQ-053</t>
        </is>
      </c>
      <c r="E59" s="15" t="inlineStr">
        <is>
          <t>EQ-055</t>
        </is>
      </c>
      <c r="F59" s="15" t="inlineStr">
        <is>
          <t>C2</t>
        </is>
      </c>
      <c r="G59" s="15" t="inlineStr">
        <is>
          <t>SOURCE-CODED</t>
        </is>
      </c>
      <c r="H59" s="15" t="inlineStr">
        <is>
          <t>Topological placeholder; branch-specific dependencies override simple serial adjacency.</t>
        </is>
      </c>
    </row>
    <row r="60">
      <c r="A60" s="15" t="inlineStr">
        <is>
          <t>LIN-055</t>
        </is>
      </c>
      <c r="B60" s="15" t="inlineStr">
        <is>
          <t>EQ-055</t>
        </is>
      </c>
      <c r="C60" s="15" t="inlineStr">
        <is>
          <t>Spectral Graph</t>
        </is>
      </c>
      <c r="D60" s="15" t="inlineStr">
        <is>
          <t>EQ-054</t>
        </is>
      </c>
      <c r="E60" s="15" t="inlineStr">
        <is>
          <t>EQ-056</t>
        </is>
      </c>
      <c r="F60" s="15" t="inlineStr">
        <is>
          <t>C2</t>
        </is>
      </c>
      <c r="G60" s="15" t="inlineStr">
        <is>
          <t>SOURCE-CODED</t>
        </is>
      </c>
      <c r="H60" s="15" t="inlineStr">
        <is>
          <t>Topological placeholder; branch-specific dependencies override simple serial adjacency.</t>
        </is>
      </c>
    </row>
    <row r="61">
      <c r="A61" s="15" t="inlineStr">
        <is>
          <t>LIN-056</t>
        </is>
      </c>
      <c r="B61" s="15" t="inlineStr">
        <is>
          <t>EQ-056</t>
        </is>
      </c>
      <c r="C61" s="15" t="inlineStr">
        <is>
          <t>Spectral Graph</t>
        </is>
      </c>
      <c r="D61" s="15" t="inlineStr">
        <is>
          <t>EQ-055</t>
        </is>
      </c>
      <c r="E61" s="15" t="inlineStr">
        <is>
          <t>EQ-057</t>
        </is>
      </c>
      <c r="F61" s="15" t="inlineStr">
        <is>
          <t>C2</t>
        </is>
      </c>
      <c r="G61" s="15" t="inlineStr">
        <is>
          <t>SOURCE-CODED</t>
        </is>
      </c>
      <c r="H61" s="15" t="inlineStr">
        <is>
          <t>Topological placeholder; branch-specific dependencies override simple serial adjacency.</t>
        </is>
      </c>
    </row>
    <row r="62">
      <c r="A62" s="15" t="inlineStr">
        <is>
          <t>LIN-057</t>
        </is>
      </c>
      <c r="B62" s="15" t="inlineStr">
        <is>
          <t>EQ-057</t>
        </is>
      </c>
      <c r="C62" s="15" t="inlineStr">
        <is>
          <t>Spectral Graph</t>
        </is>
      </c>
      <c r="D62" s="15" t="inlineStr">
        <is>
          <t>EQ-056</t>
        </is>
      </c>
      <c r="E62" s="15" t="inlineStr">
        <is>
          <t>EQ-058</t>
        </is>
      </c>
      <c r="F62" s="15" t="inlineStr">
        <is>
          <t>C2</t>
        </is>
      </c>
      <c r="G62" s="15" t="inlineStr">
        <is>
          <t>SOURCE-CODED</t>
        </is>
      </c>
      <c r="H62" s="15" t="inlineStr">
        <is>
          <t>Topological placeholder; branch-specific dependencies override simple serial adjacency.</t>
        </is>
      </c>
    </row>
    <row r="63">
      <c r="A63" s="15" t="inlineStr">
        <is>
          <t>LIN-058</t>
        </is>
      </c>
      <c r="B63" s="15" t="inlineStr">
        <is>
          <t>EQ-058</t>
        </is>
      </c>
      <c r="C63" s="15" t="inlineStr">
        <is>
          <t>Spectral Graph</t>
        </is>
      </c>
      <c r="D63" s="15" t="inlineStr">
        <is>
          <t>EQ-057</t>
        </is>
      </c>
      <c r="E63" s="15" t="inlineStr">
        <is>
          <t>EQ-059</t>
        </is>
      </c>
      <c r="F63" s="15" t="inlineStr">
        <is>
          <t>C2</t>
        </is>
      </c>
      <c r="G63" s="15" t="inlineStr">
        <is>
          <t>SOURCE-CODED</t>
        </is>
      </c>
      <c r="H63" s="15" t="inlineStr">
        <is>
          <t>Topological placeholder; branch-specific dependencies override simple serial adjacency.</t>
        </is>
      </c>
    </row>
    <row r="64">
      <c r="A64" s="15" t="inlineStr">
        <is>
          <t>LIN-059</t>
        </is>
      </c>
      <c r="B64" s="15" t="inlineStr">
        <is>
          <t>EQ-059</t>
        </is>
      </c>
      <c r="C64" s="15" t="inlineStr">
        <is>
          <t>Spectral Graph</t>
        </is>
      </c>
      <c r="D64" s="15" t="inlineStr">
        <is>
          <t>EQ-058</t>
        </is>
      </c>
      <c r="E64" s="15" t="inlineStr">
        <is>
          <t>EQ-060</t>
        </is>
      </c>
      <c r="F64" s="15" t="inlineStr">
        <is>
          <t>C2</t>
        </is>
      </c>
      <c r="G64" s="15" t="inlineStr">
        <is>
          <t>SOURCE-CODED</t>
        </is>
      </c>
      <c r="H64" s="15" t="inlineStr">
        <is>
          <t>Topological placeholder; branch-specific dependencies override simple serial adjacency.</t>
        </is>
      </c>
    </row>
    <row r="65">
      <c r="A65" s="15" t="inlineStr">
        <is>
          <t>LIN-060</t>
        </is>
      </c>
      <c r="B65" s="15" t="inlineStr">
        <is>
          <t>EQ-060</t>
        </is>
      </c>
      <c r="C65" s="15" t="inlineStr">
        <is>
          <t>Spectral Graph</t>
        </is>
      </c>
      <c r="D65" s="15" t="inlineStr">
        <is>
          <t>EQ-059</t>
        </is>
      </c>
      <c r="E65" s="15" t="inlineStr">
        <is>
          <t>EQ-061</t>
        </is>
      </c>
      <c r="F65" s="15" t="inlineStr">
        <is>
          <t>C2</t>
        </is>
      </c>
      <c r="G65" s="15" t="inlineStr">
        <is>
          <t>SOURCE-CODED</t>
        </is>
      </c>
      <c r="H65" s="15" t="inlineStr">
        <is>
          <t>Topological placeholder; branch-specific dependencies override simple serial adjacency.</t>
        </is>
      </c>
    </row>
    <row r="66">
      <c r="A66" s="15" t="inlineStr">
        <is>
          <t>LIN-061</t>
        </is>
      </c>
      <c r="B66" s="15" t="inlineStr">
        <is>
          <t>EQ-061</t>
        </is>
      </c>
      <c r="C66" s="15" t="inlineStr">
        <is>
          <t>Spectral Graph</t>
        </is>
      </c>
      <c r="D66" s="15" t="inlineStr">
        <is>
          <t>EQ-060</t>
        </is>
      </c>
      <c r="E66" s="15" t="inlineStr">
        <is>
          <t>EQ-062</t>
        </is>
      </c>
      <c r="F66" s="15" t="inlineStr">
        <is>
          <t>C2</t>
        </is>
      </c>
      <c r="G66" s="15" t="inlineStr">
        <is>
          <t>SOURCE-CODED</t>
        </is>
      </c>
      <c r="H66" s="15" t="inlineStr">
        <is>
          <t>Topological placeholder; branch-specific dependencies override simple serial adjacency.</t>
        </is>
      </c>
    </row>
    <row r="67">
      <c r="A67" s="15" t="inlineStr">
        <is>
          <t>LIN-062</t>
        </is>
      </c>
      <c r="B67" s="15" t="inlineStr">
        <is>
          <t>EQ-062</t>
        </is>
      </c>
      <c r="C67" s="15" t="inlineStr">
        <is>
          <t>Emergent Geometry</t>
        </is>
      </c>
      <c r="D67" s="15" t="inlineStr">
        <is>
          <t>EQ-061</t>
        </is>
      </c>
      <c r="E67" s="15" t="inlineStr">
        <is>
          <t>EQ-063</t>
        </is>
      </c>
      <c r="F67" s="15" t="inlineStr">
        <is>
          <t>C3</t>
        </is>
      </c>
      <c r="G67" s="15" t="inlineStr">
        <is>
          <t>SOURCE-CODED</t>
        </is>
      </c>
      <c r="H67" s="15" t="inlineStr">
        <is>
          <t>Topological placeholder; branch-specific dependencies override simple serial adjacency.</t>
        </is>
      </c>
    </row>
    <row r="68">
      <c r="A68" s="15" t="inlineStr">
        <is>
          <t>LIN-063</t>
        </is>
      </c>
      <c r="B68" s="15" t="inlineStr">
        <is>
          <t>EQ-063</t>
        </is>
      </c>
      <c r="C68" s="15" t="inlineStr">
        <is>
          <t>Emergent Geometry</t>
        </is>
      </c>
      <c r="D68" s="15" t="inlineStr">
        <is>
          <t>EQ-062</t>
        </is>
      </c>
      <c r="E68" s="15" t="inlineStr">
        <is>
          <t>EQ-064</t>
        </is>
      </c>
      <c r="F68" s="15" t="inlineStr">
        <is>
          <t>C3</t>
        </is>
      </c>
      <c r="G68" s="15" t="inlineStr">
        <is>
          <t>SOURCE-CODED</t>
        </is>
      </c>
      <c r="H68" s="15" t="inlineStr">
        <is>
          <t>Topological placeholder; branch-specific dependencies override simple serial adjacency.</t>
        </is>
      </c>
    </row>
    <row r="69">
      <c r="A69" s="15" t="inlineStr">
        <is>
          <t>LIN-064</t>
        </is>
      </c>
      <c r="B69" s="15" t="inlineStr">
        <is>
          <t>EQ-064</t>
        </is>
      </c>
      <c r="C69" s="15" t="inlineStr">
        <is>
          <t>Emergent Geometry</t>
        </is>
      </c>
      <c r="D69" s="15" t="inlineStr">
        <is>
          <t>EQ-063</t>
        </is>
      </c>
      <c r="E69" s="15" t="inlineStr">
        <is>
          <t>EQ-065</t>
        </is>
      </c>
      <c r="F69" s="15" t="inlineStr">
        <is>
          <t>C3</t>
        </is>
      </c>
      <c r="G69" s="15" t="inlineStr">
        <is>
          <t>SOURCE-CODED</t>
        </is>
      </c>
      <c r="H69" s="15" t="inlineStr">
        <is>
          <t>Topological placeholder; branch-specific dependencies override simple serial adjacency.</t>
        </is>
      </c>
    </row>
    <row r="70">
      <c r="A70" s="15" t="inlineStr">
        <is>
          <t>LIN-065</t>
        </is>
      </c>
      <c r="B70" s="15" t="inlineStr">
        <is>
          <t>EQ-065</t>
        </is>
      </c>
      <c r="C70" s="15" t="inlineStr">
        <is>
          <t>Emergent Geometry</t>
        </is>
      </c>
      <c r="D70" s="15" t="inlineStr">
        <is>
          <t>EQ-064</t>
        </is>
      </c>
      <c r="E70" s="15" t="inlineStr">
        <is>
          <t>EQ-066</t>
        </is>
      </c>
      <c r="F70" s="15" t="inlineStr">
        <is>
          <t>C3</t>
        </is>
      </c>
      <c r="G70" s="15" t="inlineStr">
        <is>
          <t>SOURCE-CODED</t>
        </is>
      </c>
      <c r="H70" s="15" t="inlineStr">
        <is>
          <t>Topological placeholder; branch-specific dependencies override simple serial adjacency.</t>
        </is>
      </c>
    </row>
    <row r="71">
      <c r="A71" s="15" t="inlineStr">
        <is>
          <t>LIN-066</t>
        </is>
      </c>
      <c r="B71" s="15" t="inlineStr">
        <is>
          <t>EQ-066</t>
        </is>
      </c>
      <c r="C71" s="15" t="inlineStr">
        <is>
          <t>Emergent Geometry</t>
        </is>
      </c>
      <c r="D71" s="15" t="inlineStr">
        <is>
          <t>EQ-065</t>
        </is>
      </c>
      <c r="E71" s="15" t="inlineStr">
        <is>
          <t>EQ-067</t>
        </is>
      </c>
      <c r="F71" s="15" t="inlineStr">
        <is>
          <t>C3</t>
        </is>
      </c>
      <c r="G71" s="15" t="inlineStr">
        <is>
          <t>SOURCE-CODED</t>
        </is>
      </c>
      <c r="H71" s="15" t="inlineStr">
        <is>
          <t>Topological placeholder; branch-specific dependencies override simple serial adjacency.</t>
        </is>
      </c>
    </row>
    <row r="72">
      <c r="A72" s="15" t="inlineStr">
        <is>
          <t>LIN-067</t>
        </is>
      </c>
      <c r="B72" s="15" t="inlineStr">
        <is>
          <t>EQ-067</t>
        </is>
      </c>
      <c r="C72" s="15" t="inlineStr">
        <is>
          <t>Emergent Geometry</t>
        </is>
      </c>
      <c r="D72" s="15" t="inlineStr">
        <is>
          <t>EQ-066</t>
        </is>
      </c>
      <c r="E72" s="15" t="inlineStr">
        <is>
          <t>EQ-068</t>
        </is>
      </c>
      <c r="F72" s="15" t="inlineStr">
        <is>
          <t>C3</t>
        </is>
      </c>
      <c r="G72" s="15" t="inlineStr">
        <is>
          <t>SOURCE-CODED</t>
        </is>
      </c>
      <c r="H72" s="15" t="inlineStr">
        <is>
          <t>Topological placeholder; branch-specific dependencies override simple serial adjacency.</t>
        </is>
      </c>
    </row>
    <row r="73">
      <c r="A73" s="15" t="inlineStr">
        <is>
          <t>LIN-068</t>
        </is>
      </c>
      <c r="B73" s="15" t="inlineStr">
        <is>
          <t>EQ-068</t>
        </is>
      </c>
      <c r="C73" s="15" t="inlineStr">
        <is>
          <t>Emergent Geometry</t>
        </is>
      </c>
      <c r="D73" s="15" t="inlineStr">
        <is>
          <t>EQ-067</t>
        </is>
      </c>
      <c r="E73" s="15" t="inlineStr">
        <is>
          <t>EQ-069</t>
        </is>
      </c>
      <c r="F73" s="15" t="inlineStr">
        <is>
          <t>C3</t>
        </is>
      </c>
      <c r="G73" s="15" t="inlineStr">
        <is>
          <t>SOURCE-CODED</t>
        </is>
      </c>
      <c r="H73" s="15" t="inlineStr">
        <is>
          <t>Topological placeholder; branch-specific dependencies override simple serial adjacency.</t>
        </is>
      </c>
    </row>
    <row r="74">
      <c r="A74" s="15" t="inlineStr">
        <is>
          <t>LIN-069</t>
        </is>
      </c>
      <c r="B74" s="15" t="inlineStr">
        <is>
          <t>EQ-069</t>
        </is>
      </c>
      <c r="C74" s="15" t="inlineStr">
        <is>
          <t>Emergent Geometry</t>
        </is>
      </c>
      <c r="D74" s="15" t="inlineStr">
        <is>
          <t>EQ-068</t>
        </is>
      </c>
      <c r="E74" s="15" t="inlineStr">
        <is>
          <t>EQ-070</t>
        </is>
      </c>
      <c r="F74" s="15" t="inlineStr">
        <is>
          <t>C3</t>
        </is>
      </c>
      <c r="G74" s="15" t="inlineStr">
        <is>
          <t>SOURCE-CODED</t>
        </is>
      </c>
      <c r="H74" s="15" t="inlineStr">
        <is>
          <t>Topological placeholder; branch-specific dependencies override simple serial adjacency.</t>
        </is>
      </c>
    </row>
    <row r="75">
      <c r="A75" s="15" t="inlineStr">
        <is>
          <t>LIN-070</t>
        </is>
      </c>
      <c r="B75" s="15" t="inlineStr">
        <is>
          <t>EQ-070</t>
        </is>
      </c>
      <c r="C75" s="15" t="inlineStr">
        <is>
          <t>Emergent Geometry</t>
        </is>
      </c>
      <c r="D75" s="15" t="inlineStr">
        <is>
          <t>EQ-069</t>
        </is>
      </c>
      <c r="E75" s="15" t="inlineStr">
        <is>
          <t>EQ-071</t>
        </is>
      </c>
      <c r="F75" s="15" t="inlineStr">
        <is>
          <t>C3</t>
        </is>
      </c>
      <c r="G75" s="15" t="inlineStr">
        <is>
          <t>SOURCE-CODED</t>
        </is>
      </c>
      <c r="H75" s="15" t="inlineStr">
        <is>
          <t>Topological placeholder; branch-specific dependencies override simple serial adjacency.</t>
        </is>
      </c>
    </row>
    <row r="76">
      <c r="A76" s="15" t="inlineStr">
        <is>
          <t>LIN-071</t>
        </is>
      </c>
      <c r="B76" s="15" t="inlineStr">
        <is>
          <t>EQ-071</t>
        </is>
      </c>
      <c r="C76" s="15" t="inlineStr">
        <is>
          <t>Emergent Geometry</t>
        </is>
      </c>
      <c r="D76" s="15" t="inlineStr">
        <is>
          <t>EQ-070</t>
        </is>
      </c>
      <c r="E76" s="15" t="inlineStr">
        <is>
          <t>EQ-072</t>
        </is>
      </c>
      <c r="F76" s="15" t="inlineStr">
        <is>
          <t>C3</t>
        </is>
      </c>
      <c r="G76" s="15" t="inlineStr">
        <is>
          <t>SOURCE-CODED</t>
        </is>
      </c>
      <c r="H76" s="15" t="inlineStr">
        <is>
          <t>Topological placeholder; branch-specific dependencies override simple serial adjacency.</t>
        </is>
      </c>
    </row>
    <row r="77">
      <c r="A77" s="15" t="inlineStr">
        <is>
          <t>LIN-072</t>
        </is>
      </c>
      <c r="B77" s="15" t="inlineStr">
        <is>
          <t>EQ-072</t>
        </is>
      </c>
      <c r="C77" s="15" t="inlineStr">
        <is>
          <t>Emergent Geometry</t>
        </is>
      </c>
      <c r="D77" s="15" t="inlineStr">
        <is>
          <t>EQ-071</t>
        </is>
      </c>
      <c r="E77" s="15" t="inlineStr">
        <is>
          <t>EQ-073</t>
        </is>
      </c>
      <c r="F77" s="15" t="inlineStr">
        <is>
          <t>C3</t>
        </is>
      </c>
      <c r="G77" s="15" t="inlineStr">
        <is>
          <t>SOURCE-CODED</t>
        </is>
      </c>
      <c r="H77" s="15" t="inlineStr">
        <is>
          <t>Topological placeholder; branch-specific dependencies override simple serial adjacency.</t>
        </is>
      </c>
    </row>
    <row r="78">
      <c r="A78" s="15" t="inlineStr">
        <is>
          <t>LIN-073</t>
        </is>
      </c>
      <c r="B78" s="15" t="inlineStr">
        <is>
          <t>EQ-073</t>
        </is>
      </c>
      <c r="C78" s="15" t="inlineStr">
        <is>
          <t>Emergent Geometry</t>
        </is>
      </c>
      <c r="D78" s="15" t="inlineStr">
        <is>
          <t>EQ-072</t>
        </is>
      </c>
      <c r="E78" s="15" t="inlineStr">
        <is>
          <t>EQ-074</t>
        </is>
      </c>
      <c r="F78" s="15" t="inlineStr">
        <is>
          <t>C3</t>
        </is>
      </c>
      <c r="G78" s="15" t="inlineStr">
        <is>
          <t>SOURCE-CODED</t>
        </is>
      </c>
      <c r="H78" s="15" t="inlineStr">
        <is>
          <t>Topological placeholder; branch-specific dependencies override simple serial adjacency.</t>
        </is>
      </c>
    </row>
    <row r="79">
      <c r="A79" s="15" t="inlineStr">
        <is>
          <t>LIN-074</t>
        </is>
      </c>
      <c r="B79" s="15" t="inlineStr">
        <is>
          <t>EQ-074</t>
        </is>
      </c>
      <c r="C79" s="15" t="inlineStr">
        <is>
          <t>Emergent Geometry</t>
        </is>
      </c>
      <c r="D79" s="15" t="inlineStr">
        <is>
          <t>EQ-073</t>
        </is>
      </c>
      <c r="E79" s="15" t="inlineStr">
        <is>
          <t>EQ-075</t>
        </is>
      </c>
      <c r="F79" s="15" t="inlineStr">
        <is>
          <t>C3</t>
        </is>
      </c>
      <c r="G79" s="15" t="inlineStr">
        <is>
          <t>SOURCE-CODED</t>
        </is>
      </c>
      <c r="H79" s="15" t="inlineStr">
        <is>
          <t>Topological placeholder; branch-specific dependencies override simple serial adjacency.</t>
        </is>
      </c>
    </row>
    <row r="80">
      <c r="A80" s="15" t="inlineStr">
        <is>
          <t>LIN-075</t>
        </is>
      </c>
      <c r="B80" s="15" t="inlineStr">
        <is>
          <t>EQ-075</t>
        </is>
      </c>
      <c r="C80" s="15" t="inlineStr">
        <is>
          <t>Emergent Geometry</t>
        </is>
      </c>
      <c r="D80" s="15" t="inlineStr">
        <is>
          <t>EQ-074</t>
        </is>
      </c>
      <c r="E80" s="15" t="inlineStr">
        <is>
          <t>EQ-076</t>
        </is>
      </c>
      <c r="F80" s="15" t="inlineStr">
        <is>
          <t>C3</t>
        </is>
      </c>
      <c r="G80" s="15" t="inlineStr">
        <is>
          <t>SOURCE-CODED</t>
        </is>
      </c>
      <c r="H80" s="15" t="inlineStr">
        <is>
          <t>Topological placeholder; branch-specific dependencies override simple serial adjacency.</t>
        </is>
      </c>
    </row>
    <row r="81">
      <c r="A81" s="15" t="inlineStr">
        <is>
          <t>LIN-076</t>
        </is>
      </c>
      <c r="B81" s="15" t="inlineStr">
        <is>
          <t>EQ-076</t>
        </is>
      </c>
      <c r="C81" s="15" t="inlineStr">
        <is>
          <t>Persistence / Variational</t>
        </is>
      </c>
      <c r="D81" s="15" t="inlineStr">
        <is>
          <t>EQ-075</t>
        </is>
      </c>
      <c r="E81" s="15" t="inlineStr">
        <is>
          <t>EQ-077</t>
        </is>
      </c>
      <c r="F81" s="15" t="inlineStr">
        <is>
          <t>C4</t>
        </is>
      </c>
      <c r="G81" s="15" t="inlineStr">
        <is>
          <t>SOURCE-CODED</t>
        </is>
      </c>
      <c r="H81" s="15" t="inlineStr">
        <is>
          <t>Topological placeholder; branch-specific dependencies override simple serial adjacency.</t>
        </is>
      </c>
    </row>
    <row r="82">
      <c r="A82" s="15" t="inlineStr">
        <is>
          <t>LIN-077</t>
        </is>
      </c>
      <c r="B82" s="15" t="inlineStr">
        <is>
          <t>EQ-077</t>
        </is>
      </c>
      <c r="C82" s="15" t="inlineStr">
        <is>
          <t>Persistence / Variational</t>
        </is>
      </c>
      <c r="D82" s="15" t="inlineStr">
        <is>
          <t>EQ-076</t>
        </is>
      </c>
      <c r="E82" s="15" t="inlineStr">
        <is>
          <t>EQ-078</t>
        </is>
      </c>
      <c r="F82" s="15" t="inlineStr">
        <is>
          <t>C4</t>
        </is>
      </c>
      <c r="G82" s="15" t="inlineStr">
        <is>
          <t>SOURCE-CODED</t>
        </is>
      </c>
      <c r="H82" s="15" t="inlineStr">
        <is>
          <t>Topological placeholder; branch-specific dependencies override simple serial adjacency.</t>
        </is>
      </c>
    </row>
    <row r="83">
      <c r="A83" s="15" t="inlineStr">
        <is>
          <t>LIN-078</t>
        </is>
      </c>
      <c r="B83" s="15" t="inlineStr">
        <is>
          <t>EQ-078</t>
        </is>
      </c>
      <c r="C83" s="15" t="inlineStr">
        <is>
          <t>Persistence / Variational</t>
        </is>
      </c>
      <c r="D83" s="15" t="inlineStr">
        <is>
          <t>EQ-077</t>
        </is>
      </c>
      <c r="E83" s="15" t="inlineStr">
        <is>
          <t>EQ-079</t>
        </is>
      </c>
      <c r="F83" s="15" t="inlineStr">
        <is>
          <t>C4</t>
        </is>
      </c>
      <c r="G83" s="15" t="inlineStr">
        <is>
          <t>SOURCE-CODED</t>
        </is>
      </c>
      <c r="H83" s="15" t="inlineStr">
        <is>
          <t>Topological placeholder; branch-specific dependencies override simple serial adjacency.</t>
        </is>
      </c>
    </row>
    <row r="84">
      <c r="A84" s="15" t="inlineStr">
        <is>
          <t>LIN-079</t>
        </is>
      </c>
      <c r="B84" s="15" t="inlineStr">
        <is>
          <t>EQ-079</t>
        </is>
      </c>
      <c r="C84" s="15" t="inlineStr">
        <is>
          <t>Persistence / Variational</t>
        </is>
      </c>
      <c r="D84" s="15" t="inlineStr">
        <is>
          <t>EQ-078</t>
        </is>
      </c>
      <c r="E84" s="15" t="inlineStr">
        <is>
          <t>EQ-080</t>
        </is>
      </c>
      <c r="F84" s="15" t="inlineStr">
        <is>
          <t>C4</t>
        </is>
      </c>
      <c r="G84" s="15" t="inlineStr">
        <is>
          <t>SOURCE-CODED</t>
        </is>
      </c>
      <c r="H84" s="15" t="inlineStr">
        <is>
          <t>Topological placeholder; branch-specific dependencies override simple serial adjacency.</t>
        </is>
      </c>
    </row>
    <row r="85">
      <c r="A85" s="15" t="inlineStr">
        <is>
          <t>LIN-080</t>
        </is>
      </c>
      <c r="B85" s="15" t="inlineStr">
        <is>
          <t>EQ-080</t>
        </is>
      </c>
      <c r="C85" s="15" t="inlineStr">
        <is>
          <t>Persistence / Variational</t>
        </is>
      </c>
      <c r="D85" s="15" t="inlineStr">
        <is>
          <t>EQ-079</t>
        </is>
      </c>
      <c r="E85" s="15" t="inlineStr">
        <is>
          <t>EQ-081</t>
        </is>
      </c>
      <c r="F85" s="15" t="inlineStr">
        <is>
          <t>C4</t>
        </is>
      </c>
      <c r="G85" s="15" t="inlineStr">
        <is>
          <t>SOURCE-CODED</t>
        </is>
      </c>
      <c r="H85" s="15" t="inlineStr">
        <is>
          <t>Topological placeholder; branch-specific dependencies override simple serial adjacency.</t>
        </is>
      </c>
    </row>
    <row r="86">
      <c r="A86" s="15" t="inlineStr">
        <is>
          <t>LIN-081</t>
        </is>
      </c>
      <c r="B86" s="15" t="inlineStr">
        <is>
          <t>EQ-081</t>
        </is>
      </c>
      <c r="C86" s="15" t="inlineStr">
        <is>
          <t>Persistence / Variational</t>
        </is>
      </c>
      <c r="D86" s="15" t="inlineStr">
        <is>
          <t>EQ-080</t>
        </is>
      </c>
      <c r="E86" s="15" t="inlineStr">
        <is>
          <t>EQ-082</t>
        </is>
      </c>
      <c r="F86" s="15" t="inlineStr">
        <is>
          <t>C4</t>
        </is>
      </c>
      <c r="G86" s="15" t="inlineStr">
        <is>
          <t>SOURCE-CODED</t>
        </is>
      </c>
      <c r="H86" s="15" t="inlineStr">
        <is>
          <t>Topological placeholder; branch-specific dependencies override simple serial adjacency.</t>
        </is>
      </c>
    </row>
    <row r="87">
      <c r="A87" s="15" t="inlineStr">
        <is>
          <t>LIN-082</t>
        </is>
      </c>
      <c r="B87" s="15" t="inlineStr">
        <is>
          <t>EQ-082</t>
        </is>
      </c>
      <c r="C87" s="15" t="inlineStr">
        <is>
          <t>Persistence / Variational</t>
        </is>
      </c>
      <c r="D87" s="15" t="inlineStr">
        <is>
          <t>EQ-081</t>
        </is>
      </c>
      <c r="E87" s="15" t="inlineStr">
        <is>
          <t>EQ-083</t>
        </is>
      </c>
      <c r="F87" s="15" t="inlineStr">
        <is>
          <t>C4</t>
        </is>
      </c>
      <c r="G87" s="15" t="inlineStr">
        <is>
          <t>SOURCE-CODED</t>
        </is>
      </c>
      <c r="H87" s="15" t="inlineStr">
        <is>
          <t>Topological placeholder; branch-specific dependencies override simple serial adjacency.</t>
        </is>
      </c>
    </row>
    <row r="88">
      <c r="A88" s="15" t="inlineStr">
        <is>
          <t>LIN-083</t>
        </is>
      </c>
      <c r="B88" s="15" t="inlineStr">
        <is>
          <t>EQ-083</t>
        </is>
      </c>
      <c r="C88" s="15" t="inlineStr">
        <is>
          <t>Persistence / Variational</t>
        </is>
      </c>
      <c r="D88" s="15" t="inlineStr">
        <is>
          <t>EQ-082</t>
        </is>
      </c>
      <c r="E88" s="15" t="inlineStr">
        <is>
          <t>EQ-084</t>
        </is>
      </c>
      <c r="F88" s="15" t="inlineStr">
        <is>
          <t>C4</t>
        </is>
      </c>
      <c r="G88" s="15" t="inlineStr">
        <is>
          <t>SOURCE-CODED</t>
        </is>
      </c>
      <c r="H88" s="15" t="inlineStr">
        <is>
          <t>Topological placeholder; branch-specific dependencies override simple serial adjacency.</t>
        </is>
      </c>
    </row>
    <row r="89">
      <c r="A89" s="15" t="inlineStr">
        <is>
          <t>LIN-084</t>
        </is>
      </c>
      <c r="B89" s="15" t="inlineStr">
        <is>
          <t>EQ-084</t>
        </is>
      </c>
      <c r="C89" s="15" t="inlineStr">
        <is>
          <t>Persistence / Variational</t>
        </is>
      </c>
      <c r="D89" s="15" t="inlineStr">
        <is>
          <t>EQ-083</t>
        </is>
      </c>
      <c r="E89" s="15" t="inlineStr">
        <is>
          <t>EQ-085</t>
        </is>
      </c>
      <c r="F89" s="15" t="inlineStr">
        <is>
          <t>C4</t>
        </is>
      </c>
      <c r="G89" s="15" t="inlineStr">
        <is>
          <t>SOURCE-CODED</t>
        </is>
      </c>
      <c r="H89" s="15" t="inlineStr">
        <is>
          <t>Topological placeholder; branch-specific dependencies override simple serial adjacency.</t>
        </is>
      </c>
    </row>
    <row r="90">
      <c r="A90" s="15" t="inlineStr">
        <is>
          <t>LIN-085</t>
        </is>
      </c>
      <c r="B90" s="15" t="inlineStr">
        <is>
          <t>EQ-085</t>
        </is>
      </c>
      <c r="C90" s="15" t="inlineStr">
        <is>
          <t>Persistence / Variational</t>
        </is>
      </c>
      <c r="D90" s="15" t="inlineStr">
        <is>
          <t>EQ-084</t>
        </is>
      </c>
      <c r="E90" s="15" t="inlineStr">
        <is>
          <t>EQ-086</t>
        </is>
      </c>
      <c r="F90" s="15" t="inlineStr">
        <is>
          <t>C4</t>
        </is>
      </c>
      <c r="G90" s="15" t="inlineStr">
        <is>
          <t>SOURCE-CODED</t>
        </is>
      </c>
      <c r="H90" s="15" t="inlineStr">
        <is>
          <t>Topological placeholder; branch-specific dependencies override simple serial adjacency.</t>
        </is>
      </c>
    </row>
    <row r="91">
      <c r="A91" s="15" t="inlineStr">
        <is>
          <t>LIN-086</t>
        </is>
      </c>
      <c r="B91" s="15" t="inlineStr">
        <is>
          <t>EQ-086</t>
        </is>
      </c>
      <c r="C91" s="15" t="inlineStr">
        <is>
          <t>Persistence / Variational</t>
        </is>
      </c>
      <c r="D91" s="15" t="inlineStr">
        <is>
          <t>EQ-085</t>
        </is>
      </c>
      <c r="E91" s="15" t="inlineStr">
        <is>
          <t>EQ-087</t>
        </is>
      </c>
      <c r="F91" s="15" t="inlineStr">
        <is>
          <t>C4</t>
        </is>
      </c>
      <c r="G91" s="15" t="inlineStr">
        <is>
          <t>SOURCE-CODED</t>
        </is>
      </c>
      <c r="H91" s="15" t="inlineStr">
        <is>
          <t>Topological placeholder; branch-specific dependencies override simple serial adjacency.</t>
        </is>
      </c>
    </row>
    <row r="92">
      <c r="A92" s="15" t="inlineStr">
        <is>
          <t>LIN-087</t>
        </is>
      </c>
      <c r="B92" s="15" t="inlineStr">
        <is>
          <t>EQ-087</t>
        </is>
      </c>
      <c r="C92" s="15" t="inlineStr">
        <is>
          <t>Persistence / Variational</t>
        </is>
      </c>
      <c r="D92" s="15" t="inlineStr">
        <is>
          <t>EQ-086</t>
        </is>
      </c>
      <c r="E92" s="15" t="inlineStr">
        <is>
          <t>EQ-088</t>
        </is>
      </c>
      <c r="F92" s="15" t="inlineStr">
        <is>
          <t>C4</t>
        </is>
      </c>
      <c r="G92" s="15" t="inlineStr">
        <is>
          <t>SOURCE-CODED</t>
        </is>
      </c>
      <c r="H92" s="15" t="inlineStr">
        <is>
          <t>Topological placeholder; branch-specific dependencies override simple serial adjacency.</t>
        </is>
      </c>
    </row>
    <row r="93">
      <c r="A93" s="15" t="inlineStr">
        <is>
          <t>LIN-088</t>
        </is>
      </c>
      <c r="B93" s="15" t="inlineStr">
        <is>
          <t>EQ-088</t>
        </is>
      </c>
      <c r="C93" s="15" t="inlineStr">
        <is>
          <t>Persistence / Variational</t>
        </is>
      </c>
      <c r="D93" s="15" t="inlineStr">
        <is>
          <t>EQ-087</t>
        </is>
      </c>
      <c r="E93" s="15" t="inlineStr">
        <is>
          <t>EQ-089</t>
        </is>
      </c>
      <c r="F93" s="15" t="inlineStr">
        <is>
          <t>C4</t>
        </is>
      </c>
      <c r="G93" s="15" t="inlineStr">
        <is>
          <t>SOURCE-CODED</t>
        </is>
      </c>
      <c r="H93" s="15" t="inlineStr">
        <is>
          <t>Topological placeholder; branch-specific dependencies override simple serial adjacency.</t>
        </is>
      </c>
    </row>
    <row r="94">
      <c r="A94" s="15" t="inlineStr">
        <is>
          <t>LIN-089</t>
        </is>
      </c>
      <c r="B94" s="15" t="inlineStr">
        <is>
          <t>EQ-089</t>
        </is>
      </c>
      <c r="C94" s="15" t="inlineStr">
        <is>
          <t>Curvature</t>
        </is>
      </c>
      <c r="D94" s="15" t="inlineStr">
        <is>
          <t>EQ-088</t>
        </is>
      </c>
      <c r="E94" s="15" t="inlineStr">
        <is>
          <t>EQ-090</t>
        </is>
      </c>
      <c r="F94" s="15" t="inlineStr">
        <is>
          <t>C3</t>
        </is>
      </c>
      <c r="G94" s="15" t="inlineStr">
        <is>
          <t>SOURCE-CODED</t>
        </is>
      </c>
      <c r="H94" s="15" t="inlineStr">
        <is>
          <t>Topological placeholder; branch-specific dependencies override simple serial adjacency.</t>
        </is>
      </c>
    </row>
    <row r="95">
      <c r="A95" s="15" t="inlineStr">
        <is>
          <t>LIN-090</t>
        </is>
      </c>
      <c r="B95" s="15" t="inlineStr">
        <is>
          <t>EQ-090</t>
        </is>
      </c>
      <c r="C95" s="15" t="inlineStr">
        <is>
          <t>Curvature</t>
        </is>
      </c>
      <c r="D95" s="15" t="inlineStr">
        <is>
          <t>EQ-089</t>
        </is>
      </c>
      <c r="E95" s="15" t="inlineStr">
        <is>
          <t>EQ-091</t>
        </is>
      </c>
      <c r="F95" s="15" t="inlineStr">
        <is>
          <t>C3</t>
        </is>
      </c>
      <c r="G95" s="15" t="inlineStr">
        <is>
          <t>SOURCE-CODED</t>
        </is>
      </c>
      <c r="H95" s="15" t="inlineStr">
        <is>
          <t>Topological placeholder; branch-specific dependencies override simple serial adjacency.</t>
        </is>
      </c>
    </row>
    <row r="96">
      <c r="A96" s="15" t="inlineStr">
        <is>
          <t>LIN-091</t>
        </is>
      </c>
      <c r="B96" s="15" t="inlineStr">
        <is>
          <t>EQ-091</t>
        </is>
      </c>
      <c r="C96" s="15" t="inlineStr">
        <is>
          <t>Curvature</t>
        </is>
      </c>
      <c r="D96" s="15" t="inlineStr">
        <is>
          <t>EQ-090</t>
        </is>
      </c>
      <c r="E96" s="15" t="inlineStr">
        <is>
          <t>EQ-092</t>
        </is>
      </c>
      <c r="F96" s="15" t="inlineStr">
        <is>
          <t>C3</t>
        </is>
      </c>
      <c r="G96" s="15" t="inlineStr">
        <is>
          <t>SOURCE-CODED</t>
        </is>
      </c>
      <c r="H96" s="15" t="inlineStr">
        <is>
          <t>Topological placeholder; branch-specific dependencies override simple serial adjacency.</t>
        </is>
      </c>
    </row>
    <row r="97">
      <c r="A97" s="15" t="inlineStr">
        <is>
          <t>LIN-092</t>
        </is>
      </c>
      <c r="B97" s="15" t="inlineStr">
        <is>
          <t>EQ-092</t>
        </is>
      </c>
      <c r="C97" s="15" t="inlineStr">
        <is>
          <t>Curvature</t>
        </is>
      </c>
      <c r="D97" s="15" t="inlineStr">
        <is>
          <t>EQ-091</t>
        </is>
      </c>
      <c r="E97" s="15" t="inlineStr">
        <is>
          <t>EQ-093</t>
        </is>
      </c>
      <c r="F97" s="15" t="inlineStr">
        <is>
          <t>C3</t>
        </is>
      </c>
      <c r="G97" s="15" t="inlineStr">
        <is>
          <t>SOURCE-CODED</t>
        </is>
      </c>
      <c r="H97" s="15" t="inlineStr">
        <is>
          <t>Topological placeholder; branch-specific dependencies override simple serial adjacency.</t>
        </is>
      </c>
    </row>
    <row r="98">
      <c r="A98" s="15" t="inlineStr">
        <is>
          <t>LIN-093</t>
        </is>
      </c>
      <c r="B98" s="15" t="inlineStr">
        <is>
          <t>EQ-093</t>
        </is>
      </c>
      <c r="C98" s="15" t="inlineStr">
        <is>
          <t>Curvature</t>
        </is>
      </c>
      <c r="D98" s="15" t="inlineStr">
        <is>
          <t>EQ-092</t>
        </is>
      </c>
      <c r="E98" s="15" t="inlineStr">
        <is>
          <t>EQ-094</t>
        </is>
      </c>
      <c r="F98" s="15" t="inlineStr">
        <is>
          <t>C3</t>
        </is>
      </c>
      <c r="G98" s="15" t="inlineStr">
        <is>
          <t>SOURCE-CODED</t>
        </is>
      </c>
      <c r="H98" s="15" t="inlineStr">
        <is>
          <t>Topological placeholder; branch-specific dependencies override simple serial adjacency.</t>
        </is>
      </c>
    </row>
    <row r="99">
      <c r="A99" s="15" t="inlineStr">
        <is>
          <t>LIN-094</t>
        </is>
      </c>
      <c r="B99" s="15" t="inlineStr">
        <is>
          <t>EQ-094</t>
        </is>
      </c>
      <c r="C99" s="15" t="inlineStr">
        <is>
          <t>Curvature</t>
        </is>
      </c>
      <c r="D99" s="15" t="inlineStr">
        <is>
          <t>EQ-093</t>
        </is>
      </c>
      <c r="E99" s="15" t="inlineStr">
        <is>
          <t>EQ-095</t>
        </is>
      </c>
      <c r="F99" s="15" t="inlineStr">
        <is>
          <t>C3</t>
        </is>
      </c>
      <c r="G99" s="15" t="inlineStr">
        <is>
          <t>SOURCE-CODED</t>
        </is>
      </c>
      <c r="H99" s="15" t="inlineStr">
        <is>
          <t>Topological placeholder; branch-specific dependencies override simple serial adjacency.</t>
        </is>
      </c>
    </row>
    <row r="100">
      <c r="A100" s="15" t="inlineStr">
        <is>
          <t>LIN-095</t>
        </is>
      </c>
      <c r="B100" s="15" t="inlineStr">
        <is>
          <t>EQ-095</t>
        </is>
      </c>
      <c r="C100" s="15" t="inlineStr">
        <is>
          <t>Curvature</t>
        </is>
      </c>
      <c r="D100" s="15" t="inlineStr">
        <is>
          <t>EQ-094</t>
        </is>
      </c>
      <c r="E100" s="15" t="inlineStr">
        <is>
          <t>EQ-096</t>
        </is>
      </c>
      <c r="F100" s="15" t="inlineStr">
        <is>
          <t>C3</t>
        </is>
      </c>
      <c r="G100" s="15" t="inlineStr">
        <is>
          <t>SOURCE-CODED</t>
        </is>
      </c>
      <c r="H100" s="15" t="inlineStr">
        <is>
          <t>Topological placeholder; branch-specific dependencies override simple serial adjacency.</t>
        </is>
      </c>
    </row>
    <row r="101">
      <c r="A101" s="15" t="inlineStr">
        <is>
          <t>LIN-096</t>
        </is>
      </c>
      <c r="B101" s="15" t="inlineStr">
        <is>
          <t>EQ-096</t>
        </is>
      </c>
      <c r="C101" s="15" t="inlineStr">
        <is>
          <t>Curvature</t>
        </is>
      </c>
      <c r="D101" s="15" t="inlineStr">
        <is>
          <t>EQ-095</t>
        </is>
      </c>
      <c r="E101" s="15" t="inlineStr">
        <is>
          <t>EQ-097</t>
        </is>
      </c>
      <c r="F101" s="15" t="inlineStr">
        <is>
          <t>C3</t>
        </is>
      </c>
      <c r="G101" s="15" t="inlineStr">
        <is>
          <t>SOURCE-CODED</t>
        </is>
      </c>
      <c r="H101" s="15" t="inlineStr">
        <is>
          <t>Topological placeholder; branch-specific dependencies override simple serial adjacency.</t>
        </is>
      </c>
    </row>
    <row r="102">
      <c r="A102" s="15" t="inlineStr">
        <is>
          <t>LIN-097</t>
        </is>
      </c>
      <c r="B102" s="15" t="inlineStr">
        <is>
          <t>EQ-097</t>
        </is>
      </c>
      <c r="C102" s="15" t="inlineStr">
        <is>
          <t>Curvature</t>
        </is>
      </c>
      <c r="D102" s="15" t="inlineStr">
        <is>
          <t>EQ-096</t>
        </is>
      </c>
      <c r="E102" s="15" t="inlineStr">
        <is>
          <t>EQ-098</t>
        </is>
      </c>
      <c r="F102" s="15" t="inlineStr">
        <is>
          <t>C3</t>
        </is>
      </c>
      <c r="G102" s="15" t="inlineStr">
        <is>
          <t>SOURCE-CODED</t>
        </is>
      </c>
      <c r="H102" s="15" t="inlineStr">
        <is>
          <t>Topological placeholder; branch-specific dependencies override simple serial adjacency.</t>
        </is>
      </c>
    </row>
    <row r="103">
      <c r="A103" s="15" t="inlineStr">
        <is>
          <t>LIN-098</t>
        </is>
      </c>
      <c r="B103" s="15" t="inlineStr">
        <is>
          <t>EQ-098</t>
        </is>
      </c>
      <c r="C103" s="15" t="inlineStr">
        <is>
          <t>Curvature</t>
        </is>
      </c>
      <c r="D103" s="15" t="inlineStr">
        <is>
          <t>EQ-097</t>
        </is>
      </c>
      <c r="E103" s="15" t="inlineStr">
        <is>
          <t>EQ-099</t>
        </is>
      </c>
      <c r="F103" s="15" t="inlineStr">
        <is>
          <t>C3</t>
        </is>
      </c>
      <c r="G103" s="15" t="inlineStr">
        <is>
          <t>SOURCE-CODED</t>
        </is>
      </c>
      <c r="H103" s="15" t="inlineStr">
        <is>
          <t>Topological placeholder; branch-specific dependencies override simple serial adjacency.</t>
        </is>
      </c>
    </row>
    <row r="104">
      <c r="A104" s="15" t="inlineStr">
        <is>
          <t>LIN-099</t>
        </is>
      </c>
      <c r="B104" s="15" t="inlineStr">
        <is>
          <t>EQ-099</t>
        </is>
      </c>
      <c r="C104" s="15" t="inlineStr">
        <is>
          <t>Curvature</t>
        </is>
      </c>
      <c r="D104" s="15" t="inlineStr">
        <is>
          <t>EQ-098</t>
        </is>
      </c>
      <c r="E104" s="15" t="inlineStr">
        <is>
          <t>EQ-100</t>
        </is>
      </c>
      <c r="F104" s="15" t="inlineStr">
        <is>
          <t>C3</t>
        </is>
      </c>
      <c r="G104" s="15" t="inlineStr">
        <is>
          <t>SOURCE-CODED</t>
        </is>
      </c>
      <c r="H104" s="15" t="inlineStr">
        <is>
          <t>Topological placeholder; branch-specific dependencies override simple serial adjacency.</t>
        </is>
      </c>
    </row>
    <row r="105">
      <c r="A105" s="15" t="inlineStr">
        <is>
          <t>LIN-100</t>
        </is>
      </c>
      <c r="B105" s="15" t="inlineStr">
        <is>
          <t>EQ-100</t>
        </is>
      </c>
      <c r="C105" s="15" t="inlineStr">
        <is>
          <t>Curvature</t>
        </is>
      </c>
      <c r="D105" s="15" t="inlineStr">
        <is>
          <t>EQ-099</t>
        </is>
      </c>
      <c r="E105" s="15" t="inlineStr">
        <is>
          <t>EQ-101</t>
        </is>
      </c>
      <c r="F105" s="15" t="inlineStr">
        <is>
          <t>C3</t>
        </is>
      </c>
      <c r="G105" s="15" t="inlineStr">
        <is>
          <t>SOURCE-CODED</t>
        </is>
      </c>
      <c r="H105" s="15" t="inlineStr">
        <is>
          <t>Topological placeholder; branch-specific dependencies override simple serial adjacency.</t>
        </is>
      </c>
    </row>
    <row r="106">
      <c r="A106" s="15" t="inlineStr">
        <is>
          <t>LIN-101</t>
        </is>
      </c>
      <c r="B106" s="15" t="inlineStr">
        <is>
          <t>EQ-101</t>
        </is>
      </c>
      <c r="C106" s="15" t="inlineStr">
        <is>
          <t>Classical Physics</t>
        </is>
      </c>
      <c r="D106" s="15" t="inlineStr">
        <is>
          <t>EQ-100</t>
        </is>
      </c>
      <c r="E106" s="15" t="inlineStr">
        <is>
          <t>EQ-102</t>
        </is>
      </c>
      <c r="F106" s="15" t="inlineStr">
        <is>
          <t>C5</t>
        </is>
      </c>
      <c r="G106" s="15" t="inlineStr">
        <is>
          <t>SOURCE-CODED</t>
        </is>
      </c>
      <c r="H106" s="15" t="inlineStr">
        <is>
          <t>Topological placeholder; branch-specific dependencies override simple serial adjacency.</t>
        </is>
      </c>
    </row>
    <row r="107">
      <c r="A107" s="15" t="inlineStr">
        <is>
          <t>LIN-102</t>
        </is>
      </c>
      <c r="B107" s="15" t="inlineStr">
        <is>
          <t>EQ-102</t>
        </is>
      </c>
      <c r="C107" s="15" t="inlineStr">
        <is>
          <t>Classical Physics</t>
        </is>
      </c>
      <c r="D107" s="15" t="inlineStr">
        <is>
          <t>EQ-101</t>
        </is>
      </c>
      <c r="E107" s="15" t="inlineStr">
        <is>
          <t>EQ-103</t>
        </is>
      </c>
      <c r="F107" s="15" t="inlineStr">
        <is>
          <t>C5</t>
        </is>
      </c>
      <c r="G107" s="15" t="inlineStr">
        <is>
          <t>SOURCE-CODED</t>
        </is>
      </c>
      <c r="H107" s="15" t="inlineStr">
        <is>
          <t>Topological placeholder; branch-specific dependencies override simple serial adjacency.</t>
        </is>
      </c>
    </row>
    <row r="108">
      <c r="A108" s="15" t="inlineStr">
        <is>
          <t>LIN-103</t>
        </is>
      </c>
      <c r="B108" s="15" t="inlineStr">
        <is>
          <t>EQ-103</t>
        </is>
      </c>
      <c r="C108" s="15" t="inlineStr">
        <is>
          <t>Classical Physics</t>
        </is>
      </c>
      <c r="D108" s="15" t="inlineStr">
        <is>
          <t>EQ-102</t>
        </is>
      </c>
      <c r="E108" s="15" t="inlineStr">
        <is>
          <t>EQ-104</t>
        </is>
      </c>
      <c r="F108" s="15" t="inlineStr">
        <is>
          <t>C5</t>
        </is>
      </c>
      <c r="G108" s="15" t="inlineStr">
        <is>
          <t>SOURCE-CODED</t>
        </is>
      </c>
      <c r="H108" s="15" t="inlineStr">
        <is>
          <t>Topological placeholder; branch-specific dependencies override simple serial adjacency.</t>
        </is>
      </c>
    </row>
    <row r="109">
      <c r="A109" s="15" t="inlineStr">
        <is>
          <t>LIN-104</t>
        </is>
      </c>
      <c r="B109" s="15" t="inlineStr">
        <is>
          <t>EQ-104</t>
        </is>
      </c>
      <c r="C109" s="15" t="inlineStr">
        <is>
          <t>Classical Physics</t>
        </is>
      </c>
      <c r="D109" s="15" t="inlineStr">
        <is>
          <t>EQ-103</t>
        </is>
      </c>
      <c r="E109" s="15" t="inlineStr">
        <is>
          <t>EQ-105</t>
        </is>
      </c>
      <c r="F109" s="15" t="inlineStr">
        <is>
          <t>C5</t>
        </is>
      </c>
      <c r="G109" s="15" t="inlineStr">
        <is>
          <t>SOURCE-CODED</t>
        </is>
      </c>
      <c r="H109" s="15" t="inlineStr">
        <is>
          <t>Topological placeholder; branch-specific dependencies override simple serial adjacency.</t>
        </is>
      </c>
    </row>
    <row r="110">
      <c r="A110" s="15" t="inlineStr">
        <is>
          <t>LIN-105</t>
        </is>
      </c>
      <c r="B110" s="15" t="inlineStr">
        <is>
          <t>EQ-105</t>
        </is>
      </c>
      <c r="C110" s="15" t="inlineStr">
        <is>
          <t>Classical Physics</t>
        </is>
      </c>
      <c r="D110" s="15" t="inlineStr">
        <is>
          <t>EQ-104</t>
        </is>
      </c>
      <c r="E110" s="15" t="inlineStr">
        <is>
          <t>EQ-106</t>
        </is>
      </c>
      <c r="F110" s="15" t="inlineStr">
        <is>
          <t>C5</t>
        </is>
      </c>
      <c r="G110" s="15" t="inlineStr">
        <is>
          <t>SOURCE-CODED</t>
        </is>
      </c>
      <c r="H110" s="15" t="inlineStr">
        <is>
          <t>Topological placeholder; branch-specific dependencies override simple serial adjacency.</t>
        </is>
      </c>
    </row>
    <row r="111">
      <c r="A111" s="15" t="inlineStr">
        <is>
          <t>LIN-106</t>
        </is>
      </c>
      <c r="B111" s="15" t="inlineStr">
        <is>
          <t>EQ-106</t>
        </is>
      </c>
      <c r="C111" s="15" t="inlineStr">
        <is>
          <t>Classical Physics</t>
        </is>
      </c>
      <c r="D111" s="15" t="inlineStr">
        <is>
          <t>EQ-105</t>
        </is>
      </c>
      <c r="E111" s="15" t="inlineStr">
        <is>
          <t>EQ-107</t>
        </is>
      </c>
      <c r="F111" s="15" t="inlineStr">
        <is>
          <t>C5</t>
        </is>
      </c>
      <c r="G111" s="15" t="inlineStr">
        <is>
          <t>SOURCE-CODED</t>
        </is>
      </c>
      <c r="H111" s="15" t="inlineStr">
        <is>
          <t>Topological placeholder; branch-specific dependencies override simple serial adjacency.</t>
        </is>
      </c>
    </row>
    <row r="112">
      <c r="A112" s="15" t="inlineStr">
        <is>
          <t>LIN-107</t>
        </is>
      </c>
      <c r="B112" s="15" t="inlineStr">
        <is>
          <t>EQ-107</t>
        </is>
      </c>
      <c r="C112" s="15" t="inlineStr">
        <is>
          <t>Classical Physics</t>
        </is>
      </c>
      <c r="D112" s="15" t="inlineStr">
        <is>
          <t>EQ-106</t>
        </is>
      </c>
      <c r="E112" s="15" t="inlineStr">
        <is>
          <t>EQ-108</t>
        </is>
      </c>
      <c r="F112" s="15" t="inlineStr">
        <is>
          <t>C5</t>
        </is>
      </c>
      <c r="G112" s="15" t="inlineStr">
        <is>
          <t>SOURCE-CODED</t>
        </is>
      </c>
      <c r="H112" s="15" t="inlineStr">
        <is>
          <t>Topological placeholder; branch-specific dependencies override simple serial adjacency.</t>
        </is>
      </c>
    </row>
    <row r="113">
      <c r="A113" s="15" t="inlineStr">
        <is>
          <t>LIN-108</t>
        </is>
      </c>
      <c r="B113" s="15" t="inlineStr">
        <is>
          <t>EQ-108</t>
        </is>
      </c>
      <c r="C113" s="15" t="inlineStr">
        <is>
          <t>Classical Physics</t>
        </is>
      </c>
      <c r="D113" s="15" t="inlineStr">
        <is>
          <t>EQ-107</t>
        </is>
      </c>
      <c r="E113" s="15" t="inlineStr">
        <is>
          <t>EQ-109</t>
        </is>
      </c>
      <c r="F113" s="15" t="inlineStr">
        <is>
          <t>C5</t>
        </is>
      </c>
      <c r="G113" s="15" t="inlineStr">
        <is>
          <t>SOURCE-CODED</t>
        </is>
      </c>
      <c r="H113" s="15" t="inlineStr">
        <is>
          <t>Topological placeholder; branch-specific dependencies override simple serial adjacency.</t>
        </is>
      </c>
    </row>
    <row r="114">
      <c r="A114" s="15" t="inlineStr">
        <is>
          <t>LIN-109</t>
        </is>
      </c>
      <c r="B114" s="15" t="inlineStr">
        <is>
          <t>EQ-109</t>
        </is>
      </c>
      <c r="C114" s="15" t="inlineStr">
        <is>
          <t>Classical Physics</t>
        </is>
      </c>
      <c r="D114" s="15" t="inlineStr">
        <is>
          <t>EQ-108</t>
        </is>
      </c>
      <c r="E114" s="15" t="inlineStr">
        <is>
          <t>EQ-110</t>
        </is>
      </c>
      <c r="F114" s="15" t="inlineStr">
        <is>
          <t>C5</t>
        </is>
      </c>
      <c r="G114" s="15" t="inlineStr">
        <is>
          <t>SOURCE-CODED</t>
        </is>
      </c>
      <c r="H114" s="15" t="inlineStr">
        <is>
          <t>Topological placeholder; branch-specific dependencies override simple serial adjacency.</t>
        </is>
      </c>
    </row>
    <row r="115">
      <c r="A115" s="15" t="inlineStr">
        <is>
          <t>LIN-110</t>
        </is>
      </c>
      <c r="B115" s="15" t="inlineStr">
        <is>
          <t>EQ-110</t>
        </is>
      </c>
      <c r="C115" s="15" t="inlineStr">
        <is>
          <t>Classical Physics</t>
        </is>
      </c>
      <c r="D115" s="15" t="inlineStr">
        <is>
          <t>EQ-109</t>
        </is>
      </c>
      <c r="E115" s="15" t="inlineStr">
        <is>
          <t>EQ-111</t>
        </is>
      </c>
      <c r="F115" s="15" t="inlineStr">
        <is>
          <t>C5</t>
        </is>
      </c>
      <c r="G115" s="15" t="inlineStr">
        <is>
          <t>SOURCE-CODED</t>
        </is>
      </c>
      <c r="H115" s="15" t="inlineStr">
        <is>
          <t>Topological placeholder; branch-specific dependencies override simple serial adjacency.</t>
        </is>
      </c>
    </row>
    <row r="116">
      <c r="A116" s="15" t="inlineStr">
        <is>
          <t>LIN-111</t>
        </is>
      </c>
      <c r="B116" s="15" t="inlineStr">
        <is>
          <t>EQ-111</t>
        </is>
      </c>
      <c r="C116" s="15" t="inlineStr">
        <is>
          <t>Classical Physics</t>
        </is>
      </c>
      <c r="D116" s="15" t="inlineStr">
        <is>
          <t>EQ-110</t>
        </is>
      </c>
      <c r="E116" s="15" t="inlineStr">
        <is>
          <t>EQ-112</t>
        </is>
      </c>
      <c r="F116" s="15" t="inlineStr">
        <is>
          <t>C5</t>
        </is>
      </c>
      <c r="G116" s="15" t="inlineStr">
        <is>
          <t>SOURCE-CODED</t>
        </is>
      </c>
      <c r="H116" s="15" t="inlineStr">
        <is>
          <t>Topological placeholder; branch-specific dependencies override simple serial adjacency.</t>
        </is>
      </c>
    </row>
    <row r="117">
      <c r="A117" s="15" t="inlineStr">
        <is>
          <t>LIN-112</t>
        </is>
      </c>
      <c r="B117" s="15" t="inlineStr">
        <is>
          <t>EQ-112</t>
        </is>
      </c>
      <c r="C117" s="15" t="inlineStr">
        <is>
          <t>Classical Physics</t>
        </is>
      </c>
      <c r="D117" s="15" t="inlineStr">
        <is>
          <t>EQ-111</t>
        </is>
      </c>
      <c r="E117" s="15" t="inlineStr">
        <is>
          <t>EQ-113</t>
        </is>
      </c>
      <c r="F117" s="15" t="inlineStr">
        <is>
          <t>C5</t>
        </is>
      </c>
      <c r="G117" s="15" t="inlineStr">
        <is>
          <t>SOURCE-CODED</t>
        </is>
      </c>
      <c r="H117" s="15" t="inlineStr">
        <is>
          <t>Topological placeholder; branch-specific dependencies override simple serial adjacency.</t>
        </is>
      </c>
    </row>
    <row r="118">
      <c r="A118" s="15" t="inlineStr">
        <is>
          <t>LIN-113</t>
        </is>
      </c>
      <c r="B118" s="15" t="inlineStr">
        <is>
          <t>EQ-113</t>
        </is>
      </c>
      <c r="C118" s="15" t="inlineStr">
        <is>
          <t>Classical Physics</t>
        </is>
      </c>
      <c r="D118" s="15" t="inlineStr">
        <is>
          <t>EQ-112</t>
        </is>
      </c>
      <c r="E118" s="15" t="inlineStr">
        <is>
          <t>EQ-114</t>
        </is>
      </c>
      <c r="F118" s="15" t="inlineStr">
        <is>
          <t>C5</t>
        </is>
      </c>
      <c r="G118" s="15" t="inlineStr">
        <is>
          <t>SOURCE-CODED</t>
        </is>
      </c>
      <c r="H118" s="15" t="inlineStr">
        <is>
          <t>Topological placeholder; branch-specific dependencies override simple serial adjacency.</t>
        </is>
      </c>
    </row>
    <row r="119">
      <c r="A119" s="15" t="inlineStr">
        <is>
          <t>LIN-114</t>
        </is>
      </c>
      <c r="B119" s="15" t="inlineStr">
        <is>
          <t>EQ-114</t>
        </is>
      </c>
      <c r="C119" s="15" t="inlineStr">
        <is>
          <t>QM / Thermodynamics</t>
        </is>
      </c>
      <c r="D119" s="15" t="inlineStr">
        <is>
          <t>EQ-113</t>
        </is>
      </c>
      <c r="E119" s="15" t="inlineStr">
        <is>
          <t>EQ-115</t>
        </is>
      </c>
      <c r="F119" s="15" t="inlineStr">
        <is>
          <t>C6</t>
        </is>
      </c>
      <c r="G119" s="15" t="inlineStr">
        <is>
          <t>SOURCE-CODED</t>
        </is>
      </c>
      <c r="H119" s="15" t="inlineStr">
        <is>
          <t>Topological placeholder; branch-specific dependencies override simple serial adjacency.</t>
        </is>
      </c>
    </row>
    <row r="120">
      <c r="A120" s="15" t="inlineStr">
        <is>
          <t>LIN-115</t>
        </is>
      </c>
      <c r="B120" s="15" t="inlineStr">
        <is>
          <t>EQ-115</t>
        </is>
      </c>
      <c r="C120" s="15" t="inlineStr">
        <is>
          <t>QM / Thermodynamics</t>
        </is>
      </c>
      <c r="D120" s="15" t="inlineStr">
        <is>
          <t>EQ-114</t>
        </is>
      </c>
      <c r="E120" s="15" t="inlineStr">
        <is>
          <t>EQ-116</t>
        </is>
      </c>
      <c r="F120" s="15" t="inlineStr">
        <is>
          <t>C6</t>
        </is>
      </c>
      <c r="G120" s="15" t="inlineStr">
        <is>
          <t>SOURCE-CODED</t>
        </is>
      </c>
      <c r="H120" s="15" t="inlineStr">
        <is>
          <t>Topological placeholder; branch-specific dependencies override simple serial adjacency.</t>
        </is>
      </c>
    </row>
    <row r="121">
      <c r="A121" s="15" t="inlineStr">
        <is>
          <t>LIN-116</t>
        </is>
      </c>
      <c r="B121" s="15" t="inlineStr">
        <is>
          <t>EQ-116</t>
        </is>
      </c>
      <c r="C121" s="15" t="inlineStr">
        <is>
          <t>QM / Thermodynamics</t>
        </is>
      </c>
      <c r="D121" s="15" t="inlineStr">
        <is>
          <t>EQ-115</t>
        </is>
      </c>
      <c r="E121" s="15" t="inlineStr">
        <is>
          <t>EQ-117</t>
        </is>
      </c>
      <c r="F121" s="15" t="inlineStr">
        <is>
          <t>C6</t>
        </is>
      </c>
      <c r="G121" s="15" t="inlineStr">
        <is>
          <t>SOURCE-CODED</t>
        </is>
      </c>
      <c r="H121" s="15" t="inlineStr">
        <is>
          <t>Topological placeholder; branch-specific dependencies override simple serial adjacency.</t>
        </is>
      </c>
    </row>
    <row r="122">
      <c r="A122" s="15" t="inlineStr">
        <is>
          <t>LIN-117</t>
        </is>
      </c>
      <c r="B122" s="15" t="inlineStr">
        <is>
          <t>EQ-117</t>
        </is>
      </c>
      <c r="C122" s="15" t="inlineStr">
        <is>
          <t>QM / Thermodynamics</t>
        </is>
      </c>
      <c r="D122" s="15" t="inlineStr">
        <is>
          <t>EQ-116</t>
        </is>
      </c>
      <c r="E122" s="15" t="inlineStr">
        <is>
          <t>EQ-118</t>
        </is>
      </c>
      <c r="F122" s="15" t="inlineStr">
        <is>
          <t>C6</t>
        </is>
      </c>
      <c r="G122" s="15" t="inlineStr">
        <is>
          <t>SOURCE-CODED</t>
        </is>
      </c>
      <c r="H122" s="15" t="inlineStr">
        <is>
          <t>Topological placeholder; branch-specific dependencies override simple serial adjacency.</t>
        </is>
      </c>
    </row>
    <row r="123">
      <c r="A123" s="15" t="inlineStr">
        <is>
          <t>LIN-118</t>
        </is>
      </c>
      <c r="B123" s="15" t="inlineStr">
        <is>
          <t>EQ-118</t>
        </is>
      </c>
      <c r="C123" s="15" t="inlineStr">
        <is>
          <t>QM / Thermodynamics</t>
        </is>
      </c>
      <c r="D123" s="15" t="inlineStr">
        <is>
          <t>EQ-117</t>
        </is>
      </c>
      <c r="E123" s="15" t="inlineStr">
        <is>
          <t>EQ-119</t>
        </is>
      </c>
      <c r="F123" s="15" t="inlineStr">
        <is>
          <t>C6</t>
        </is>
      </c>
      <c r="G123" s="15" t="inlineStr">
        <is>
          <t>SOURCE-CODED</t>
        </is>
      </c>
      <c r="H123" s="15" t="inlineStr">
        <is>
          <t>Topological placeholder; branch-specific dependencies override simple serial adjacency.</t>
        </is>
      </c>
    </row>
    <row r="124">
      <c r="A124" s="15" t="inlineStr">
        <is>
          <t>LIN-119</t>
        </is>
      </c>
      <c r="B124" s="15" t="inlineStr">
        <is>
          <t>EQ-119</t>
        </is>
      </c>
      <c r="C124" s="15" t="inlineStr">
        <is>
          <t>QM / Thermodynamics</t>
        </is>
      </c>
      <c r="D124" s="15" t="inlineStr">
        <is>
          <t>EQ-118</t>
        </is>
      </c>
      <c r="E124" s="15" t="inlineStr">
        <is>
          <t>EQ-120</t>
        </is>
      </c>
      <c r="F124" s="15" t="inlineStr">
        <is>
          <t>C6</t>
        </is>
      </c>
      <c r="G124" s="15" t="inlineStr">
        <is>
          <t>SOURCE-CODED</t>
        </is>
      </c>
      <c r="H124" s="15" t="inlineStr">
        <is>
          <t>Topological placeholder; branch-specific dependencies override simple serial adjacency.</t>
        </is>
      </c>
    </row>
    <row r="125">
      <c r="A125" s="15" t="inlineStr">
        <is>
          <t>LIN-120</t>
        </is>
      </c>
      <c r="B125" s="15" t="inlineStr">
        <is>
          <t>EQ-120</t>
        </is>
      </c>
      <c r="C125" s="15" t="inlineStr">
        <is>
          <t>QM / Thermodynamics</t>
        </is>
      </c>
      <c r="D125" s="15" t="inlineStr">
        <is>
          <t>EQ-119</t>
        </is>
      </c>
      <c r="E125" s="15" t="inlineStr">
        <is>
          <t>EQ-121</t>
        </is>
      </c>
      <c r="F125" s="15" t="inlineStr">
        <is>
          <t>C6</t>
        </is>
      </c>
      <c r="G125" s="15" t="inlineStr">
        <is>
          <t>SOURCE-CODED</t>
        </is>
      </c>
      <c r="H125" s="15" t="inlineStr">
        <is>
          <t>Topological placeholder; branch-specific dependencies override simple serial adjacency.</t>
        </is>
      </c>
    </row>
    <row r="126">
      <c r="A126" s="15" t="inlineStr">
        <is>
          <t>LIN-121</t>
        </is>
      </c>
      <c r="B126" s="15" t="inlineStr">
        <is>
          <t>EQ-121</t>
        </is>
      </c>
      <c r="C126" s="15" t="inlineStr">
        <is>
          <t>QM / Thermodynamics</t>
        </is>
      </c>
      <c r="D126" s="15" t="inlineStr">
        <is>
          <t>EQ-120</t>
        </is>
      </c>
      <c r="E126" s="15" t="inlineStr">
        <is>
          <t>EQ-122</t>
        </is>
      </c>
      <c r="F126" s="15" t="inlineStr">
        <is>
          <t>C6</t>
        </is>
      </c>
      <c r="G126" s="15" t="inlineStr">
        <is>
          <t>SOURCE-CODED</t>
        </is>
      </c>
      <c r="H126" s="15" t="inlineStr">
        <is>
          <t>Topological placeholder; branch-specific dependencies override simple serial adjacency.</t>
        </is>
      </c>
    </row>
    <row r="127">
      <c r="A127" s="15" t="inlineStr">
        <is>
          <t>LIN-122</t>
        </is>
      </c>
      <c r="B127" s="15" t="inlineStr">
        <is>
          <t>EQ-122</t>
        </is>
      </c>
      <c r="C127" s="15" t="inlineStr">
        <is>
          <t>QM / Thermodynamics</t>
        </is>
      </c>
      <c r="D127" s="15" t="inlineStr">
        <is>
          <t>EQ-121</t>
        </is>
      </c>
      <c r="E127" s="15" t="inlineStr">
        <is>
          <t>EQ-123</t>
        </is>
      </c>
      <c r="F127" s="15" t="inlineStr">
        <is>
          <t>C6</t>
        </is>
      </c>
      <c r="G127" s="15" t="inlineStr">
        <is>
          <t>SOURCE-CODED</t>
        </is>
      </c>
      <c r="H127" s="15" t="inlineStr">
        <is>
          <t>Topological placeholder; branch-specific dependencies override simple serial adjacency.</t>
        </is>
      </c>
    </row>
    <row r="128">
      <c r="A128" s="15" t="inlineStr">
        <is>
          <t>LIN-123</t>
        </is>
      </c>
      <c r="B128" s="15" t="inlineStr">
        <is>
          <t>EQ-123</t>
        </is>
      </c>
      <c r="C128" s="15" t="inlineStr">
        <is>
          <t>QM / Thermodynamics</t>
        </is>
      </c>
      <c r="D128" s="15" t="inlineStr">
        <is>
          <t>EQ-122</t>
        </is>
      </c>
      <c r="E128" s="15" t="inlineStr">
        <is>
          <t>EQ-124</t>
        </is>
      </c>
      <c r="F128" s="15" t="inlineStr">
        <is>
          <t>C6</t>
        </is>
      </c>
      <c r="G128" s="15" t="inlineStr">
        <is>
          <t>SOURCE-CODED</t>
        </is>
      </c>
      <c r="H128" s="15" t="inlineStr">
        <is>
          <t>Topological placeholder; branch-specific dependencies override simple serial adjacency.</t>
        </is>
      </c>
    </row>
    <row r="129">
      <c r="A129" s="15" t="inlineStr">
        <is>
          <t>LIN-124</t>
        </is>
      </c>
      <c r="B129" s="15" t="inlineStr">
        <is>
          <t>EQ-124</t>
        </is>
      </c>
      <c r="C129" s="15" t="inlineStr">
        <is>
          <t>Lagrangian / Hamiltonian</t>
        </is>
      </c>
      <c r="D129" s="15" t="inlineStr">
        <is>
          <t>EQ-123</t>
        </is>
      </c>
      <c r="E129" s="15" t="inlineStr">
        <is>
          <t>EQ-125</t>
        </is>
      </c>
      <c r="F129" s="15" t="inlineStr">
        <is>
          <t>C4</t>
        </is>
      </c>
      <c r="G129" s="15" t="inlineStr">
        <is>
          <t>SOURCE-CODED</t>
        </is>
      </c>
      <c r="H129" s="15" t="inlineStr">
        <is>
          <t>Topological placeholder; branch-specific dependencies override simple serial adjacency.</t>
        </is>
      </c>
    </row>
    <row r="130">
      <c r="A130" s="15" t="inlineStr">
        <is>
          <t>LIN-125</t>
        </is>
      </c>
      <c r="B130" s="15" t="inlineStr">
        <is>
          <t>EQ-125</t>
        </is>
      </c>
      <c r="C130" s="15" t="inlineStr">
        <is>
          <t>Lagrangian / Hamiltonian</t>
        </is>
      </c>
      <c r="D130" s="15" t="inlineStr">
        <is>
          <t>EQ-124</t>
        </is>
      </c>
      <c r="E130" s="15" t="inlineStr">
        <is>
          <t>EQ-126</t>
        </is>
      </c>
      <c r="F130" s="15" t="inlineStr">
        <is>
          <t>C4</t>
        </is>
      </c>
      <c r="G130" s="15" t="inlineStr">
        <is>
          <t>SOURCE-CODED</t>
        </is>
      </c>
      <c r="H130" s="15" t="inlineStr">
        <is>
          <t>Topological placeholder; branch-specific dependencies override simple serial adjacency.</t>
        </is>
      </c>
    </row>
    <row r="131">
      <c r="A131" s="15" t="inlineStr">
        <is>
          <t>LIN-126</t>
        </is>
      </c>
      <c r="B131" s="15" t="inlineStr">
        <is>
          <t>EQ-126</t>
        </is>
      </c>
      <c r="C131" s="15" t="inlineStr">
        <is>
          <t>Lagrangian / Hamiltonian</t>
        </is>
      </c>
      <c r="D131" s="15" t="inlineStr">
        <is>
          <t>EQ-125</t>
        </is>
      </c>
      <c r="E131" s="15" t="inlineStr">
        <is>
          <t>EQ-127</t>
        </is>
      </c>
      <c r="F131" s="15" t="inlineStr">
        <is>
          <t>C4</t>
        </is>
      </c>
      <c r="G131" s="15" t="inlineStr">
        <is>
          <t>SOURCE-CODED</t>
        </is>
      </c>
      <c r="H131" s="15" t="inlineStr">
        <is>
          <t>Topological placeholder; branch-specific dependencies override simple serial adjacency.</t>
        </is>
      </c>
    </row>
    <row r="132">
      <c r="A132" s="15" t="inlineStr">
        <is>
          <t>LIN-127</t>
        </is>
      </c>
      <c r="B132" s="15" t="inlineStr">
        <is>
          <t>EQ-127</t>
        </is>
      </c>
      <c r="C132" s="15" t="inlineStr">
        <is>
          <t>Lagrangian / Hamiltonian</t>
        </is>
      </c>
      <c r="D132" s="15" t="inlineStr">
        <is>
          <t>EQ-126</t>
        </is>
      </c>
      <c r="E132" s="15" t="inlineStr">
        <is>
          <t>EQ-128</t>
        </is>
      </c>
      <c r="F132" s="15" t="inlineStr">
        <is>
          <t>C4</t>
        </is>
      </c>
      <c r="G132" s="15" t="inlineStr">
        <is>
          <t>SOURCE-CODED</t>
        </is>
      </c>
      <c r="H132" s="15" t="inlineStr">
        <is>
          <t>Topological placeholder; branch-specific dependencies override simple serial adjacency.</t>
        </is>
      </c>
    </row>
    <row r="133">
      <c r="A133" s="15" t="inlineStr">
        <is>
          <t>LIN-128</t>
        </is>
      </c>
      <c r="B133" s="15" t="inlineStr">
        <is>
          <t>EQ-128</t>
        </is>
      </c>
      <c r="C133" s="15" t="inlineStr">
        <is>
          <t>Lagrangian / Hamiltonian</t>
        </is>
      </c>
      <c r="D133" s="15" t="inlineStr">
        <is>
          <t>EQ-127</t>
        </is>
      </c>
      <c r="E133" s="15" t="inlineStr">
        <is>
          <t>EQ-129</t>
        </is>
      </c>
      <c r="F133" s="15" t="inlineStr">
        <is>
          <t>C4</t>
        </is>
      </c>
      <c r="G133" s="15" t="inlineStr">
        <is>
          <t>SOURCE-CODED</t>
        </is>
      </c>
      <c r="H133" s="15" t="inlineStr">
        <is>
          <t>Topological placeholder; branch-specific dependencies override simple serial adjacency.</t>
        </is>
      </c>
    </row>
    <row r="134">
      <c r="A134" s="15" t="inlineStr">
        <is>
          <t>LIN-129</t>
        </is>
      </c>
      <c r="B134" s="15" t="inlineStr">
        <is>
          <t>EQ-129</t>
        </is>
      </c>
      <c r="C134" s="15" t="inlineStr">
        <is>
          <t>Lagrangian / Hamiltonian</t>
        </is>
      </c>
      <c r="D134" s="15" t="inlineStr">
        <is>
          <t>EQ-128</t>
        </is>
      </c>
      <c r="E134" s="15" t="inlineStr">
        <is>
          <t>EQ-130</t>
        </is>
      </c>
      <c r="F134" s="15" t="inlineStr">
        <is>
          <t>C4</t>
        </is>
      </c>
      <c r="G134" s="15" t="inlineStr">
        <is>
          <t>SOURCE-CODED</t>
        </is>
      </c>
      <c r="H134" s="15" t="inlineStr">
        <is>
          <t>Topological placeholder; branch-specific dependencies override simple serial adjacency.</t>
        </is>
      </c>
    </row>
    <row r="135">
      <c r="A135" s="15" t="inlineStr">
        <is>
          <t>LIN-130</t>
        </is>
      </c>
      <c r="B135" s="15" t="inlineStr">
        <is>
          <t>EQ-130</t>
        </is>
      </c>
      <c r="C135" s="15" t="inlineStr">
        <is>
          <t>Lagrangian / Hamiltonian</t>
        </is>
      </c>
      <c r="D135" s="15" t="inlineStr">
        <is>
          <t>EQ-129</t>
        </is>
      </c>
      <c r="E135" s="15" t="inlineStr">
        <is>
          <t>EQ-131</t>
        </is>
      </c>
      <c r="F135" s="15" t="inlineStr">
        <is>
          <t>C4</t>
        </is>
      </c>
      <c r="G135" s="15" t="inlineStr">
        <is>
          <t>SOURCE-CODED</t>
        </is>
      </c>
      <c r="H135" s="15" t="inlineStr">
        <is>
          <t>Topological placeholder; branch-specific dependencies override simple serial adjacency.</t>
        </is>
      </c>
    </row>
    <row r="136">
      <c r="A136" s="15" t="inlineStr">
        <is>
          <t>LIN-131</t>
        </is>
      </c>
      <c r="B136" s="15" t="inlineStr">
        <is>
          <t>EQ-131</t>
        </is>
      </c>
      <c r="C136" s="15" t="inlineStr">
        <is>
          <t>Lagrangian / Hamiltonian</t>
        </is>
      </c>
      <c r="D136" s="15" t="inlineStr">
        <is>
          <t>EQ-130</t>
        </is>
      </c>
      <c r="E136" s="15" t="inlineStr">
        <is>
          <t>EQ-132</t>
        </is>
      </c>
      <c r="F136" s="15" t="inlineStr">
        <is>
          <t>C4</t>
        </is>
      </c>
      <c r="G136" s="15" t="inlineStr">
        <is>
          <t>SOURCE-CODED</t>
        </is>
      </c>
      <c r="H136" s="15" t="inlineStr">
        <is>
          <t>Topological placeholder; branch-specific dependencies override simple serial adjacency.</t>
        </is>
      </c>
    </row>
    <row r="137">
      <c r="A137" s="15" t="inlineStr">
        <is>
          <t>LIN-132</t>
        </is>
      </c>
      <c r="B137" s="15" t="inlineStr">
        <is>
          <t>EQ-132</t>
        </is>
      </c>
      <c r="C137" s="15" t="inlineStr">
        <is>
          <t>Organizational Dynamics</t>
        </is>
      </c>
      <c r="D137" s="15" t="inlineStr">
        <is>
          <t>EQ-131</t>
        </is>
      </c>
      <c r="E137" s="15" t="inlineStr">
        <is>
          <t>EQ-133</t>
        </is>
      </c>
      <c r="F137" s="15" t="inlineStr">
        <is>
          <t>C1</t>
        </is>
      </c>
      <c r="G137" s="15" t="inlineStr">
        <is>
          <t>SOURCE-CODED</t>
        </is>
      </c>
      <c r="H137" s="15" t="inlineStr">
        <is>
          <t>Topological placeholder; branch-specific dependencies override simple serial adjacency.</t>
        </is>
      </c>
    </row>
    <row r="138">
      <c r="A138" s="15" t="inlineStr">
        <is>
          <t>LIN-133</t>
        </is>
      </c>
      <c r="B138" s="15" t="inlineStr">
        <is>
          <t>EQ-133</t>
        </is>
      </c>
      <c r="C138" s="15" t="inlineStr">
        <is>
          <t>Organizational Dynamics</t>
        </is>
      </c>
      <c r="D138" s="15" t="inlineStr">
        <is>
          <t>EQ-132</t>
        </is>
      </c>
      <c r="E138" s="15" t="inlineStr">
        <is>
          <t>EQ-134</t>
        </is>
      </c>
      <c r="F138" s="15" t="inlineStr">
        <is>
          <t>C1</t>
        </is>
      </c>
      <c r="G138" s="15" t="inlineStr">
        <is>
          <t>SOURCE-CODED</t>
        </is>
      </c>
      <c r="H138" s="15" t="inlineStr">
        <is>
          <t>Topological placeholder; branch-specific dependencies override simple serial adjacency.</t>
        </is>
      </c>
    </row>
    <row r="139">
      <c r="A139" s="15" t="inlineStr">
        <is>
          <t>LIN-134</t>
        </is>
      </c>
      <c r="B139" s="15" t="inlineStr">
        <is>
          <t>EQ-134</t>
        </is>
      </c>
      <c r="C139" s="15" t="inlineStr">
        <is>
          <t>Organizational Dynamics</t>
        </is>
      </c>
      <c r="D139" s="15" t="inlineStr">
        <is>
          <t>EQ-133</t>
        </is>
      </c>
      <c r="E139" s="15" t="inlineStr">
        <is>
          <t>EQ-135</t>
        </is>
      </c>
      <c r="F139" s="15" t="inlineStr">
        <is>
          <t>C1</t>
        </is>
      </c>
      <c r="G139" s="15" t="inlineStr">
        <is>
          <t>SOURCE-CODED</t>
        </is>
      </c>
      <c r="H139" s="15" t="inlineStr">
        <is>
          <t>Topological placeholder; branch-specific dependencies override simple serial adjacency.</t>
        </is>
      </c>
    </row>
    <row r="140">
      <c r="A140" s="15" t="inlineStr">
        <is>
          <t>LIN-135</t>
        </is>
      </c>
      <c r="B140" s="15" t="inlineStr">
        <is>
          <t>EQ-135</t>
        </is>
      </c>
      <c r="C140" s="15" t="inlineStr">
        <is>
          <t>Organizational Dynamics</t>
        </is>
      </c>
      <c r="D140" s="15" t="inlineStr">
        <is>
          <t>EQ-134</t>
        </is>
      </c>
      <c r="E140" s="15" t="inlineStr">
        <is>
          <t>EQ-136</t>
        </is>
      </c>
      <c r="F140" s="15" t="inlineStr">
        <is>
          <t>C1</t>
        </is>
      </c>
      <c r="G140" s="15" t="inlineStr">
        <is>
          <t>SOURCE-CODED</t>
        </is>
      </c>
      <c r="H140" s="15" t="inlineStr">
        <is>
          <t>Topological placeholder; branch-specific dependencies override simple serial adjacency.</t>
        </is>
      </c>
    </row>
    <row r="141">
      <c r="A141" s="15" t="inlineStr">
        <is>
          <t>LIN-136</t>
        </is>
      </c>
      <c r="B141" s="15" t="inlineStr">
        <is>
          <t>EQ-136</t>
        </is>
      </c>
      <c r="C141" s="15" t="inlineStr">
        <is>
          <t>Organizational Dynamics</t>
        </is>
      </c>
      <c r="D141" s="15" t="inlineStr">
        <is>
          <t>EQ-135</t>
        </is>
      </c>
      <c r="E141" s="15" t="inlineStr">
        <is>
          <t>EQ-137</t>
        </is>
      </c>
      <c r="F141" s="15" t="inlineStr">
        <is>
          <t>C1</t>
        </is>
      </c>
      <c r="G141" s="15" t="inlineStr">
        <is>
          <t>SOURCE-CODED</t>
        </is>
      </c>
      <c r="H141" s="15" t="inlineStr">
        <is>
          <t>Topological placeholder; branch-specific dependencies override simple serial adjacency.</t>
        </is>
      </c>
    </row>
    <row r="142">
      <c r="A142" s="15" t="inlineStr">
        <is>
          <t>LIN-137</t>
        </is>
      </c>
      <c r="B142" s="15" t="inlineStr">
        <is>
          <t>EQ-137</t>
        </is>
      </c>
      <c r="C142" s="15" t="inlineStr">
        <is>
          <t>Organizational Dynamics</t>
        </is>
      </c>
      <c r="D142" s="15" t="inlineStr">
        <is>
          <t>EQ-136</t>
        </is>
      </c>
      <c r="E142" s="15" t="inlineStr">
        <is>
          <t>EQ-138</t>
        </is>
      </c>
      <c r="F142" s="15" t="inlineStr">
        <is>
          <t>C1</t>
        </is>
      </c>
      <c r="G142" s="15" t="inlineStr">
        <is>
          <t>SOURCE-CODED</t>
        </is>
      </c>
      <c r="H142" s="15" t="inlineStr">
        <is>
          <t>Topological placeholder; branch-specific dependencies override simple serial adjacency.</t>
        </is>
      </c>
    </row>
    <row r="143">
      <c r="A143" s="15" t="inlineStr">
        <is>
          <t>LIN-138</t>
        </is>
      </c>
      <c r="B143" s="15" t="inlineStr">
        <is>
          <t>EQ-138</t>
        </is>
      </c>
      <c r="C143" s="15" t="inlineStr">
        <is>
          <t>Organizational Dynamics</t>
        </is>
      </c>
      <c r="D143" s="15" t="inlineStr">
        <is>
          <t>EQ-137</t>
        </is>
      </c>
      <c r="E143" s="15" t="inlineStr">
        <is>
          <t>EQ-139</t>
        </is>
      </c>
      <c r="F143" s="15" t="inlineStr">
        <is>
          <t>C1</t>
        </is>
      </c>
      <c r="G143" s="15" t="inlineStr">
        <is>
          <t>SOURCE-CODED</t>
        </is>
      </c>
      <c r="H143" s="15" t="inlineStr">
        <is>
          <t>Topological placeholder; branch-specific dependencies override simple serial adjacency.</t>
        </is>
      </c>
    </row>
    <row r="144">
      <c r="A144" s="15" t="inlineStr">
        <is>
          <t>LIN-139</t>
        </is>
      </c>
      <c r="B144" s="15" t="inlineStr">
        <is>
          <t>EQ-139</t>
        </is>
      </c>
      <c r="C144" s="15" t="inlineStr">
        <is>
          <t>Organizational Dynamics</t>
        </is>
      </c>
      <c r="D144" s="15" t="inlineStr">
        <is>
          <t>EQ-138</t>
        </is>
      </c>
      <c r="E144" s="15" t="inlineStr">
        <is>
          <t>EQ-140</t>
        </is>
      </c>
      <c r="F144" s="15" t="inlineStr">
        <is>
          <t>C1</t>
        </is>
      </c>
      <c r="G144" s="15" t="inlineStr">
        <is>
          <t>SOURCE-CODED</t>
        </is>
      </c>
      <c r="H144" s="15" t="inlineStr">
        <is>
          <t>Topological placeholder; branch-specific dependencies override simple serial adjacency.</t>
        </is>
      </c>
    </row>
    <row r="145">
      <c r="A145" s="15" t="inlineStr">
        <is>
          <t>LIN-140</t>
        </is>
      </c>
      <c r="B145" s="15" t="inlineStr">
        <is>
          <t>EQ-140</t>
        </is>
      </c>
      <c r="C145" s="15" t="inlineStr">
        <is>
          <t>Organizational Dynamics</t>
        </is>
      </c>
      <c r="D145" s="15" t="inlineStr">
        <is>
          <t>EQ-139</t>
        </is>
      </c>
      <c r="E145" s="15" t="inlineStr">
        <is>
          <t>EQ-141</t>
        </is>
      </c>
      <c r="F145" s="15" t="inlineStr">
        <is>
          <t>C1</t>
        </is>
      </c>
      <c r="G145" s="15" t="inlineStr">
        <is>
          <t>SOURCE-CODED</t>
        </is>
      </c>
      <c r="H145" s="15" t="inlineStr">
        <is>
          <t>Topological placeholder; branch-specific dependencies override simple serial adjacency.</t>
        </is>
      </c>
    </row>
    <row r="146">
      <c r="A146" s="15" t="inlineStr">
        <is>
          <t>LIN-141</t>
        </is>
      </c>
      <c r="B146" s="15" t="inlineStr">
        <is>
          <t>EQ-141</t>
        </is>
      </c>
      <c r="C146" s="15" t="inlineStr">
        <is>
          <t>Organizational Dynamics</t>
        </is>
      </c>
      <c r="D146" s="15" t="inlineStr">
        <is>
          <t>EQ-140</t>
        </is>
      </c>
      <c r="E146" s="15" t="inlineStr">
        <is>
          <t>EQ-142</t>
        </is>
      </c>
      <c r="F146" s="15" t="inlineStr">
        <is>
          <t>C1</t>
        </is>
      </c>
      <c r="G146" s="15" t="inlineStr">
        <is>
          <t>SOURCE-CODED</t>
        </is>
      </c>
      <c r="H146" s="15" t="inlineStr">
        <is>
          <t>Topological placeholder; branch-specific dependencies override simple serial adjacency.</t>
        </is>
      </c>
    </row>
    <row r="147">
      <c r="A147" s="15" t="inlineStr">
        <is>
          <t>LIN-142</t>
        </is>
      </c>
      <c r="B147" s="15" t="inlineStr">
        <is>
          <t>EQ-142</t>
        </is>
      </c>
      <c r="C147" s="15" t="inlineStr">
        <is>
          <t>Organizational Dynamics</t>
        </is>
      </c>
      <c r="D147" s="15" t="inlineStr">
        <is>
          <t>EQ-141</t>
        </is>
      </c>
      <c r="E147" s="15" t="inlineStr">
        <is>
          <t>EQ-143</t>
        </is>
      </c>
      <c r="F147" s="15" t="inlineStr">
        <is>
          <t>C1</t>
        </is>
      </c>
      <c r="G147" s="15" t="inlineStr">
        <is>
          <t>SOURCE-CODED</t>
        </is>
      </c>
      <c r="H147" s="15" t="inlineStr">
        <is>
          <t>Topological placeholder; branch-specific dependencies override simple serial adjacency.</t>
        </is>
      </c>
    </row>
    <row r="148">
      <c r="A148" s="15" t="inlineStr">
        <is>
          <t>LIN-143</t>
        </is>
      </c>
      <c r="B148" s="15" t="inlineStr">
        <is>
          <t>EQ-143</t>
        </is>
      </c>
      <c r="C148" s="15" t="inlineStr">
        <is>
          <t>Organizational Dynamics</t>
        </is>
      </c>
      <c r="D148" s="15" t="inlineStr">
        <is>
          <t>EQ-142</t>
        </is>
      </c>
      <c r="E148" s="15" t="inlineStr">
        <is>
          <t>EQ-144</t>
        </is>
      </c>
      <c r="F148" s="15" t="inlineStr">
        <is>
          <t>C1</t>
        </is>
      </c>
      <c r="G148" s="15" t="inlineStr">
        <is>
          <t>SOURCE-CODED</t>
        </is>
      </c>
      <c r="H148" s="15" t="inlineStr">
        <is>
          <t>Topological placeholder; branch-specific dependencies override simple serial adjacency.</t>
        </is>
      </c>
    </row>
    <row r="149">
      <c r="A149" s="15" t="inlineStr">
        <is>
          <t>LIN-144</t>
        </is>
      </c>
      <c r="B149" s="15" t="inlineStr">
        <is>
          <t>EQ-144</t>
        </is>
      </c>
      <c r="C149" s="15" t="inlineStr">
        <is>
          <t>Organizational Dynamics</t>
        </is>
      </c>
      <c r="D149" s="15" t="inlineStr">
        <is>
          <t>EQ-143</t>
        </is>
      </c>
      <c r="E149" s="15" t="inlineStr">
        <is>
          <t>EQ-145</t>
        </is>
      </c>
      <c r="F149" s="15" t="inlineStr">
        <is>
          <t>C1</t>
        </is>
      </c>
      <c r="G149" s="15" t="inlineStr">
        <is>
          <t>SOURCE-CODED</t>
        </is>
      </c>
      <c r="H149" s="15" t="inlineStr">
        <is>
          <t>Topological placeholder; branch-specific dependencies override simple serial adjacency.</t>
        </is>
      </c>
    </row>
    <row r="150">
      <c r="A150" s="15" t="inlineStr">
        <is>
          <t>LIN-145</t>
        </is>
      </c>
      <c r="B150" s="15" t="inlineStr">
        <is>
          <t>EQ-145</t>
        </is>
      </c>
      <c r="C150" s="15" t="inlineStr">
        <is>
          <t>Organizational Dynamics</t>
        </is>
      </c>
      <c r="D150" s="15" t="inlineStr">
        <is>
          <t>EQ-144</t>
        </is>
      </c>
      <c r="E150" s="15" t="inlineStr">
        <is>
          <t>EQ-146</t>
        </is>
      </c>
      <c r="F150" s="15" t="inlineStr">
        <is>
          <t>C1</t>
        </is>
      </c>
      <c r="G150" s="15" t="inlineStr">
        <is>
          <t>SOURCE-CODED</t>
        </is>
      </c>
      <c r="H150" s="15" t="inlineStr">
        <is>
          <t>Topological placeholder; branch-specific dependencies override simple serial adjacency.</t>
        </is>
      </c>
    </row>
    <row r="151">
      <c r="A151" s="15" t="inlineStr">
        <is>
          <t>LIN-146</t>
        </is>
      </c>
      <c r="B151" s="15" t="inlineStr">
        <is>
          <t>EQ-146</t>
        </is>
      </c>
      <c r="C151" s="15" t="inlineStr">
        <is>
          <t>Organizational Dynamics</t>
        </is>
      </c>
      <c r="D151" s="15" t="inlineStr">
        <is>
          <t>EQ-145</t>
        </is>
      </c>
      <c r="E151" s="15" t="inlineStr">
        <is>
          <t>EQ-147</t>
        </is>
      </c>
      <c r="F151" s="15" t="inlineStr">
        <is>
          <t>C1</t>
        </is>
      </c>
      <c r="G151" s="15" t="inlineStr">
        <is>
          <t>SOURCE-CODED</t>
        </is>
      </c>
      <c r="H151" s="15" t="inlineStr">
        <is>
          <t>Topological placeholder; branch-specific dependencies override simple serial adjacency.</t>
        </is>
      </c>
    </row>
    <row r="152">
      <c r="A152" s="15" t="inlineStr">
        <is>
          <t>LIN-147</t>
        </is>
      </c>
      <c r="B152" s="15" t="inlineStr">
        <is>
          <t>EQ-147</t>
        </is>
      </c>
      <c r="C152" s="15" t="inlineStr">
        <is>
          <t>Recursive Organizational Grammar</t>
        </is>
      </c>
      <c r="D152" s="15" t="inlineStr">
        <is>
          <t>EQ-146</t>
        </is>
      </c>
      <c r="E152" s="15" t="inlineStr">
        <is>
          <t>EQ-148</t>
        </is>
      </c>
      <c r="F152" s="15" t="inlineStr">
        <is>
          <t>C1</t>
        </is>
      </c>
      <c r="G152" s="15" t="inlineStr">
        <is>
          <t>SOURCE-CODED</t>
        </is>
      </c>
      <c r="H152" s="15" t="inlineStr">
        <is>
          <t>Topological placeholder; branch-specific dependencies override simple serial adjacency.</t>
        </is>
      </c>
    </row>
    <row r="153">
      <c r="A153" s="15" t="inlineStr">
        <is>
          <t>LIN-148</t>
        </is>
      </c>
      <c r="B153" s="15" t="inlineStr">
        <is>
          <t>EQ-148</t>
        </is>
      </c>
      <c r="C153" s="15" t="inlineStr">
        <is>
          <t>Recursive Organizational Grammar</t>
        </is>
      </c>
      <c r="D153" s="15" t="inlineStr">
        <is>
          <t>EQ-147</t>
        </is>
      </c>
      <c r="E153" s="15" t="inlineStr">
        <is>
          <t>EQ-149</t>
        </is>
      </c>
      <c r="F153" s="15" t="inlineStr">
        <is>
          <t>C1</t>
        </is>
      </c>
      <c r="G153" s="15" t="inlineStr">
        <is>
          <t>SOURCE-CODED</t>
        </is>
      </c>
      <c r="H153" s="15" t="inlineStr">
        <is>
          <t>Topological placeholder; branch-specific dependencies override simple serial adjacency.</t>
        </is>
      </c>
    </row>
    <row r="154">
      <c r="A154" s="15" t="inlineStr">
        <is>
          <t>LIN-149</t>
        </is>
      </c>
      <c r="B154" s="15" t="inlineStr">
        <is>
          <t>EQ-149</t>
        </is>
      </c>
      <c r="C154" s="15" t="inlineStr">
        <is>
          <t>Recursive Organizational Grammar</t>
        </is>
      </c>
      <c r="D154" s="15" t="inlineStr">
        <is>
          <t>EQ-148</t>
        </is>
      </c>
      <c r="E154" s="15" t="inlineStr">
        <is>
          <t>EQ-150</t>
        </is>
      </c>
      <c r="F154" s="15" t="inlineStr">
        <is>
          <t>C1</t>
        </is>
      </c>
      <c r="G154" s="15" t="inlineStr">
        <is>
          <t>SOURCE-CODED</t>
        </is>
      </c>
      <c r="H154" s="15" t="inlineStr">
        <is>
          <t>Topological placeholder; branch-specific dependencies override simple serial adjacency.</t>
        </is>
      </c>
    </row>
    <row r="155">
      <c r="A155" s="15" t="inlineStr">
        <is>
          <t>LIN-150</t>
        </is>
      </c>
      <c r="B155" s="15" t="inlineStr">
        <is>
          <t>EQ-150</t>
        </is>
      </c>
      <c r="C155" s="15" t="inlineStr">
        <is>
          <t>Recursive Organizational Grammar</t>
        </is>
      </c>
      <c r="D155" s="15" t="inlineStr">
        <is>
          <t>EQ-149</t>
        </is>
      </c>
      <c r="E155" s="15" t="inlineStr">
        <is>
          <t>EQ-151</t>
        </is>
      </c>
      <c r="F155" s="15" t="inlineStr">
        <is>
          <t>C1</t>
        </is>
      </c>
      <c r="G155" s="15" t="inlineStr">
        <is>
          <t>SOURCE-CODED</t>
        </is>
      </c>
      <c r="H155" s="15" t="inlineStr">
        <is>
          <t>Topological placeholder; branch-specific dependencies override simple serial adjacency.</t>
        </is>
      </c>
    </row>
    <row r="156">
      <c r="A156" s="15" t="inlineStr">
        <is>
          <t>LIN-151</t>
        </is>
      </c>
      <c r="B156" s="15" t="inlineStr">
        <is>
          <t>EQ-151</t>
        </is>
      </c>
      <c r="C156" s="15" t="inlineStr">
        <is>
          <t>Recursive Organizational Grammar</t>
        </is>
      </c>
      <c r="D156" s="15" t="inlineStr">
        <is>
          <t>EQ-150</t>
        </is>
      </c>
      <c r="E156" s="15" t="inlineStr">
        <is>
          <t>EQ-152</t>
        </is>
      </c>
      <c r="F156" s="15" t="inlineStr">
        <is>
          <t>C1</t>
        </is>
      </c>
      <c r="G156" s="15" t="inlineStr">
        <is>
          <t>SOURCE-CODED</t>
        </is>
      </c>
      <c r="H156" s="15" t="inlineStr">
        <is>
          <t>Topological placeholder; branch-specific dependencies override simple serial adjacency.</t>
        </is>
      </c>
    </row>
    <row r="157">
      <c r="A157" s="15" t="inlineStr">
        <is>
          <t>LIN-152</t>
        </is>
      </c>
      <c r="B157" s="15" t="inlineStr">
        <is>
          <t>EQ-152</t>
        </is>
      </c>
      <c r="C157" s="15" t="inlineStr">
        <is>
          <t>Recursive Organizational Grammar</t>
        </is>
      </c>
      <c r="D157" s="15" t="inlineStr">
        <is>
          <t>EQ-151</t>
        </is>
      </c>
      <c r="E157" s="15" t="inlineStr">
        <is>
          <t>EQ-153</t>
        </is>
      </c>
      <c r="F157" s="15" t="inlineStr">
        <is>
          <t>C1</t>
        </is>
      </c>
      <c r="G157" s="15" t="inlineStr">
        <is>
          <t>SOURCE-CODED</t>
        </is>
      </c>
      <c r="H157" s="15" t="inlineStr">
        <is>
          <t>Topological placeholder; branch-specific dependencies override simple serial adjacency.</t>
        </is>
      </c>
    </row>
    <row r="158">
      <c r="A158" s="15" t="inlineStr">
        <is>
          <t>LIN-153</t>
        </is>
      </c>
      <c r="B158" s="15" t="inlineStr">
        <is>
          <t>EQ-153</t>
        </is>
      </c>
      <c r="C158" s="15" t="inlineStr">
        <is>
          <t>Recursive Organizational Grammar</t>
        </is>
      </c>
      <c r="D158" s="15" t="inlineStr">
        <is>
          <t>EQ-152</t>
        </is>
      </c>
      <c r="E158" s="15" t="inlineStr">
        <is>
          <t>EQ-154</t>
        </is>
      </c>
      <c r="F158" s="15" t="inlineStr">
        <is>
          <t>C1</t>
        </is>
      </c>
      <c r="G158" s="15" t="inlineStr">
        <is>
          <t>SOURCE-CODED</t>
        </is>
      </c>
      <c r="H158" s="15" t="inlineStr">
        <is>
          <t>Topological placeholder; branch-specific dependencies override simple serial adjacency.</t>
        </is>
      </c>
    </row>
    <row r="159">
      <c r="A159" s="15" t="inlineStr">
        <is>
          <t>LIN-154</t>
        </is>
      </c>
      <c r="B159" s="15" t="inlineStr">
        <is>
          <t>EQ-154</t>
        </is>
      </c>
      <c r="C159" s="15" t="inlineStr">
        <is>
          <t>Recursive Organizational Grammar</t>
        </is>
      </c>
      <c r="D159" s="15" t="inlineStr">
        <is>
          <t>EQ-153</t>
        </is>
      </c>
      <c r="E159" s="15" t="inlineStr">
        <is>
          <t>EQ-155</t>
        </is>
      </c>
      <c r="F159" s="15" t="inlineStr">
        <is>
          <t>C1</t>
        </is>
      </c>
      <c r="G159" s="15" t="inlineStr">
        <is>
          <t>SOURCE-CODED</t>
        </is>
      </c>
      <c r="H159" s="15" t="inlineStr">
        <is>
          <t>Topological placeholder; branch-specific dependencies override simple serial adjacency.</t>
        </is>
      </c>
    </row>
    <row r="160">
      <c r="A160" s="15" t="inlineStr">
        <is>
          <t>LIN-155</t>
        </is>
      </c>
      <c r="B160" s="15" t="inlineStr">
        <is>
          <t>EQ-155</t>
        </is>
      </c>
      <c r="C160" s="15" t="inlineStr">
        <is>
          <t>Master Cascade</t>
        </is>
      </c>
      <c r="D160" s="15" t="inlineStr">
        <is>
          <t>EQ-154</t>
        </is>
      </c>
      <c r="E160" s="15" t="inlineStr">
        <is>
          <t>EQ-156</t>
        </is>
      </c>
      <c r="F160" s="15" t="inlineStr">
        <is>
          <t>C0-C7</t>
        </is>
      </c>
      <c r="G160" s="15" t="inlineStr">
        <is>
          <t>SOURCE-CODED</t>
        </is>
      </c>
      <c r="H160" s="15" t="inlineStr">
        <is>
          <t>Topological placeholder; branch-specific dependencies override simple serial adjacency.</t>
        </is>
      </c>
    </row>
    <row r="161">
      <c r="A161" s="15" t="inlineStr">
        <is>
          <t>LIN-156</t>
        </is>
      </c>
      <c r="B161" s="15" t="inlineStr">
        <is>
          <t>EQ-156</t>
        </is>
      </c>
      <c r="C161" s="15" t="inlineStr">
        <is>
          <t>Master Cascade</t>
        </is>
      </c>
      <c r="D161" s="15" t="inlineStr">
        <is>
          <t>EQ-155</t>
        </is>
      </c>
      <c r="E161" s="15" t="inlineStr">
        <is>
          <t>EQ-157</t>
        </is>
      </c>
      <c r="F161" s="15" t="inlineStr">
        <is>
          <t>C0-C7</t>
        </is>
      </c>
      <c r="G161" s="15" t="inlineStr">
        <is>
          <t>SOURCE-CODED</t>
        </is>
      </c>
      <c r="H161" s="15" t="inlineStr">
        <is>
          <t>Topological placeholder; branch-specific dependencies override simple serial adjacency.</t>
        </is>
      </c>
    </row>
    <row r="162">
      <c r="A162" s="15" t="inlineStr">
        <is>
          <t>LIN-157</t>
        </is>
      </c>
      <c r="B162" s="15" t="inlineStr">
        <is>
          <t>EQ-157</t>
        </is>
      </c>
      <c r="C162" s="15" t="inlineStr">
        <is>
          <t>Master Cascade</t>
        </is>
      </c>
      <c r="D162" s="15" t="inlineStr">
        <is>
          <t>EQ-156</t>
        </is>
      </c>
      <c r="E162" s="15" t="inlineStr">
        <is>
          <t>EQ-158</t>
        </is>
      </c>
      <c r="F162" s="15" t="inlineStr">
        <is>
          <t>C0-C7</t>
        </is>
      </c>
      <c r="G162" s="15" t="inlineStr">
        <is>
          <t>SOURCE-CODED</t>
        </is>
      </c>
      <c r="H162" s="15" t="inlineStr">
        <is>
          <t>Topological placeholder; branch-specific dependencies override simple serial adjacency.</t>
        </is>
      </c>
    </row>
    <row r="163">
      <c r="A163" s="15" t="inlineStr">
        <is>
          <t>LIN-158</t>
        </is>
      </c>
      <c r="B163" s="15" t="inlineStr">
        <is>
          <t>EQ-158</t>
        </is>
      </c>
      <c r="C163" s="15" t="inlineStr">
        <is>
          <t>Master Cascade</t>
        </is>
      </c>
      <c r="D163" s="15" t="inlineStr">
        <is>
          <t>EQ-157</t>
        </is>
      </c>
      <c r="E163" s="15" t="inlineStr">
        <is>
          <t>EQ-159</t>
        </is>
      </c>
      <c r="F163" s="15" t="inlineStr">
        <is>
          <t>C0-C7</t>
        </is>
      </c>
      <c r="G163" s="15" t="inlineStr">
        <is>
          <t>SOURCE-CODED</t>
        </is>
      </c>
      <c r="H163" s="15" t="inlineStr">
        <is>
          <t>Topological placeholder; branch-specific dependencies override simple serial adjacency.</t>
        </is>
      </c>
    </row>
    <row r="164">
      <c r="A164" s="15" t="inlineStr">
        <is>
          <t>LIN-159</t>
        </is>
      </c>
      <c r="B164" s="15" t="inlineStr">
        <is>
          <t>EQ-159</t>
        </is>
      </c>
      <c r="C164" s="15" t="inlineStr">
        <is>
          <t>Master Cascade</t>
        </is>
      </c>
      <c r="D164" s="15" t="inlineStr">
        <is>
          <t>EQ-158</t>
        </is>
      </c>
      <c r="E164" s="15" t="inlineStr">
        <is>
          <t>EQ-160</t>
        </is>
      </c>
      <c r="F164" s="15" t="inlineStr">
        <is>
          <t>C0-C7</t>
        </is>
      </c>
      <c r="G164" s="15" t="inlineStr">
        <is>
          <t>SOURCE-CODED</t>
        </is>
      </c>
      <c r="H164" s="15" t="inlineStr">
        <is>
          <t>Topological placeholder; branch-specific dependencies override simple serial adjacency.</t>
        </is>
      </c>
    </row>
    <row r="165">
      <c r="A165" s="15" t="inlineStr">
        <is>
          <t>LIN-160</t>
        </is>
      </c>
      <c r="B165" s="15" t="inlineStr">
        <is>
          <t>EQ-160</t>
        </is>
      </c>
      <c r="C165" s="15" t="inlineStr">
        <is>
          <t>Master Cascade</t>
        </is>
      </c>
      <c r="D165" s="15" t="inlineStr">
        <is>
          <t>EQ-159</t>
        </is>
      </c>
      <c r="E165" s="15" t="inlineStr">
        <is>
          <t>EQ-161</t>
        </is>
      </c>
      <c r="F165" s="15" t="inlineStr">
        <is>
          <t>C0-C7</t>
        </is>
      </c>
      <c r="G165" s="15" t="inlineStr">
        <is>
          <t>SOURCE-CODED</t>
        </is>
      </c>
      <c r="H165" s="15" t="inlineStr">
        <is>
          <t>Topological placeholder; branch-specific dependencies override simple serial adjacency.</t>
        </is>
      </c>
    </row>
    <row r="166">
      <c r="A166" s="15" t="inlineStr">
        <is>
          <t>LIN-161</t>
        </is>
      </c>
      <c r="B166" s="15" t="inlineStr">
        <is>
          <t>EQ-161</t>
        </is>
      </c>
      <c r="C166" s="15" t="inlineStr">
        <is>
          <t>Master Cascade</t>
        </is>
      </c>
      <c r="D166" s="15" t="inlineStr">
        <is>
          <t>EQ-160</t>
        </is>
      </c>
      <c r="E166" s="15" t="inlineStr">
        <is>
          <t>EQ-162</t>
        </is>
      </c>
      <c r="F166" s="15" t="inlineStr">
        <is>
          <t>C0-C7</t>
        </is>
      </c>
      <c r="G166" s="15" t="inlineStr">
        <is>
          <t>SOURCE-CODED</t>
        </is>
      </c>
      <c r="H166" s="15" t="inlineStr">
        <is>
          <t>Topological placeholder; branch-specific dependencies override simple serial adjacency.</t>
        </is>
      </c>
    </row>
    <row r="167">
      <c r="A167" s="15" t="inlineStr">
        <is>
          <t>LIN-162</t>
        </is>
      </c>
      <c r="B167" s="15" t="inlineStr">
        <is>
          <t>EQ-162</t>
        </is>
      </c>
      <c r="C167" s="15" t="inlineStr">
        <is>
          <t>Master Cascade</t>
        </is>
      </c>
      <c r="D167" s="15" t="inlineStr">
        <is>
          <t>EQ-161</t>
        </is>
      </c>
      <c r="E167" s="15" t="inlineStr">
        <is>
          <t>EQ-163</t>
        </is>
      </c>
      <c r="F167" s="15" t="inlineStr">
        <is>
          <t>C0-C7</t>
        </is>
      </c>
      <c r="G167" s="15" t="inlineStr">
        <is>
          <t>SOURCE-CODED</t>
        </is>
      </c>
      <c r="H167" s="15" t="inlineStr">
        <is>
          <t>Topological placeholder; branch-specific dependencies override simple serial adjacency.</t>
        </is>
      </c>
    </row>
    <row r="168">
      <c r="A168" s="15" t="inlineStr">
        <is>
          <t>LIN-163</t>
        </is>
      </c>
      <c r="B168" s="15" t="inlineStr">
        <is>
          <t>EQ-163</t>
        </is>
      </c>
      <c r="C168" s="15" t="inlineStr">
        <is>
          <t>Master Cascade</t>
        </is>
      </c>
      <c r="D168" s="15" t="inlineStr">
        <is>
          <t>EQ-162</t>
        </is>
      </c>
      <c r="E168" s="15" t="inlineStr">
        <is>
          <t>EQ-164</t>
        </is>
      </c>
      <c r="F168" s="15" t="inlineStr">
        <is>
          <t>C0-C7</t>
        </is>
      </c>
      <c r="G168" s="15" t="inlineStr">
        <is>
          <t>SOURCE-CODED</t>
        </is>
      </c>
      <c r="H168" s="15" t="inlineStr">
        <is>
          <t>Topological placeholder; branch-specific dependencies override simple serial adjacency.</t>
        </is>
      </c>
    </row>
    <row r="169">
      <c r="A169" s="15" t="inlineStr">
        <is>
          <t>LIN-164</t>
        </is>
      </c>
      <c r="B169" s="15" t="inlineStr">
        <is>
          <t>EQ-164</t>
        </is>
      </c>
      <c r="C169" s="15" t="inlineStr">
        <is>
          <t>Master Cascade</t>
        </is>
      </c>
      <c r="D169" s="15" t="inlineStr">
        <is>
          <t>EQ-163</t>
        </is>
      </c>
      <c r="E169" s="15" t="inlineStr">
        <is>
          <t>EQ-165</t>
        </is>
      </c>
      <c r="F169" s="15" t="inlineStr">
        <is>
          <t>C0-C7</t>
        </is>
      </c>
      <c r="G169" s="15" t="inlineStr">
        <is>
          <t>SOURCE-CODED</t>
        </is>
      </c>
      <c r="H169" s="15" t="inlineStr">
        <is>
          <t>Topological placeholder; branch-specific dependencies override simple serial adjacency.</t>
        </is>
      </c>
    </row>
    <row r="170">
      <c r="A170" s="15" t="inlineStr">
        <is>
          <t>LIN-165</t>
        </is>
      </c>
      <c r="B170" s="15" t="inlineStr">
        <is>
          <t>EQ-165</t>
        </is>
      </c>
      <c r="C170" s="15" t="inlineStr">
        <is>
          <t>Master Cascade</t>
        </is>
      </c>
      <c r="D170" s="15" t="inlineStr">
        <is>
          <t>EQ-164</t>
        </is>
      </c>
      <c r="E170" s="15" t="inlineStr">
        <is>
          <t>EQ-166</t>
        </is>
      </c>
      <c r="F170" s="15" t="inlineStr">
        <is>
          <t>C0-C7</t>
        </is>
      </c>
      <c r="G170" s="15" t="inlineStr">
        <is>
          <t>SOURCE-CODED</t>
        </is>
      </c>
      <c r="H170" s="15" t="inlineStr">
        <is>
          <t>Topological placeholder; branch-specific dependencies override simple serial adjacency.</t>
        </is>
      </c>
    </row>
    <row r="171">
      <c r="A171" s="15" t="inlineStr">
        <is>
          <t>LIN-166</t>
        </is>
      </c>
      <c r="B171" s="15" t="inlineStr">
        <is>
          <t>EQ-166</t>
        </is>
      </c>
      <c r="C171" s="15" t="inlineStr">
        <is>
          <t>Master Cascade</t>
        </is>
      </c>
      <c r="D171" s="15" t="inlineStr">
        <is>
          <t>EQ-165</t>
        </is>
      </c>
      <c r="E171" s="15" t="inlineStr">
        <is>
          <t>EQ-167</t>
        </is>
      </c>
      <c r="F171" s="15" t="inlineStr">
        <is>
          <t>C0-C7</t>
        </is>
      </c>
      <c r="G171" s="15" t="inlineStr">
        <is>
          <t>SOURCE-CODED</t>
        </is>
      </c>
      <c r="H171" s="15" t="inlineStr">
        <is>
          <t>Topological placeholder; branch-specific dependencies override simple serial adjacency.</t>
        </is>
      </c>
    </row>
    <row r="172">
      <c r="A172" s="15" t="inlineStr">
        <is>
          <t>LIN-167</t>
        </is>
      </c>
      <c r="B172" s="15" t="inlineStr">
        <is>
          <t>EQ-167</t>
        </is>
      </c>
      <c r="C172" s="15" t="inlineStr">
        <is>
          <t>Master Cascade</t>
        </is>
      </c>
      <c r="D172" s="15" t="inlineStr">
        <is>
          <t>EQ-166</t>
        </is>
      </c>
      <c r="E172" s="15" t="inlineStr">
        <is>
          <t>EQ-168</t>
        </is>
      </c>
      <c r="F172" s="15" t="inlineStr">
        <is>
          <t>C0-C7</t>
        </is>
      </c>
      <c r="G172" s="15" t="inlineStr">
        <is>
          <t>SOURCE-CODED</t>
        </is>
      </c>
      <c r="H172" s="15" t="inlineStr">
        <is>
          <t>Topological placeholder; branch-specific dependencies override simple serial adjacency.</t>
        </is>
      </c>
    </row>
    <row r="173">
      <c r="A173" s="15" t="inlineStr">
        <is>
          <t>LIN-168</t>
        </is>
      </c>
      <c r="B173" s="15" t="inlineStr">
        <is>
          <t>EQ-168</t>
        </is>
      </c>
      <c r="C173" s="15" t="inlineStr">
        <is>
          <t>Master Cascade</t>
        </is>
      </c>
      <c r="D173" s="15" t="inlineStr">
        <is>
          <t>EQ-167</t>
        </is>
      </c>
      <c r="E173" s="15" t="inlineStr">
        <is>
          <t>EQ-169</t>
        </is>
      </c>
      <c r="F173" s="15" t="inlineStr">
        <is>
          <t>C0-C7</t>
        </is>
      </c>
      <c r="G173" s="15" t="inlineStr">
        <is>
          <t>SOURCE-CODED</t>
        </is>
      </c>
      <c r="H173" s="15" t="inlineStr">
        <is>
          <t>Topological placeholder; branch-specific dependencies override simple serial adjacency.</t>
        </is>
      </c>
    </row>
    <row r="174">
      <c r="A174" s="15" t="inlineStr">
        <is>
          <t>LIN-169</t>
        </is>
      </c>
      <c r="B174" s="15" t="inlineStr">
        <is>
          <t>EQ-169</t>
        </is>
      </c>
      <c r="C174" s="15" t="inlineStr">
        <is>
          <t>Master Cascade</t>
        </is>
      </c>
      <c r="D174" s="15" t="inlineStr">
        <is>
          <t>EQ-168</t>
        </is>
      </c>
      <c r="E174" s="15" t="inlineStr">
        <is>
          <t>EQ-170</t>
        </is>
      </c>
      <c r="F174" s="15" t="inlineStr">
        <is>
          <t>C0-C7</t>
        </is>
      </c>
      <c r="G174" s="15" t="inlineStr">
        <is>
          <t>SOURCE-CODED</t>
        </is>
      </c>
      <c r="H174" s="15" t="inlineStr">
        <is>
          <t>Topological placeholder; branch-specific dependencies override simple serial adjacency.</t>
        </is>
      </c>
    </row>
    <row r="175">
      <c r="A175" s="15" t="inlineStr">
        <is>
          <t>LIN-170</t>
        </is>
      </c>
      <c r="B175" s="15" t="inlineStr">
        <is>
          <t>EQ-170</t>
        </is>
      </c>
      <c r="C175" s="15" t="inlineStr">
        <is>
          <t>Master Cascade</t>
        </is>
      </c>
      <c r="D175" s="15" t="inlineStr">
        <is>
          <t>EQ-169</t>
        </is>
      </c>
      <c r="E175" s="15" t="inlineStr">
        <is>
          <t>EQ-171</t>
        </is>
      </c>
      <c r="F175" s="15" t="inlineStr">
        <is>
          <t>C0-C7</t>
        </is>
      </c>
      <c r="G175" s="15" t="inlineStr">
        <is>
          <t>SOURCE-CODED</t>
        </is>
      </c>
      <c r="H175" s="15" t="inlineStr">
        <is>
          <t>Topological placeholder; branch-specific dependencies override simple serial adjacency.</t>
        </is>
      </c>
    </row>
    <row r="176">
      <c r="A176" s="15" t="inlineStr">
        <is>
          <t>LIN-171</t>
        </is>
      </c>
      <c r="B176" s="15" t="inlineStr">
        <is>
          <t>EQ-171</t>
        </is>
      </c>
      <c r="C176" s="15" t="inlineStr">
        <is>
          <t>Master Cascade</t>
        </is>
      </c>
      <c r="D176" s="15" t="inlineStr">
        <is>
          <t>EQ-170</t>
        </is>
      </c>
      <c r="E176" s="15" t="inlineStr">
        <is>
          <t>EQ-172</t>
        </is>
      </c>
      <c r="F176" s="15" t="inlineStr">
        <is>
          <t>C0-C7</t>
        </is>
      </c>
      <c r="G176" s="15" t="inlineStr">
        <is>
          <t>SOURCE-CODED</t>
        </is>
      </c>
      <c r="H176" s="15" t="inlineStr">
        <is>
          <t>Topological placeholder; branch-specific dependencies override simple serial adjacency.</t>
        </is>
      </c>
    </row>
    <row r="177">
      <c r="A177" s="15" t="inlineStr">
        <is>
          <t>LIN-172</t>
        </is>
      </c>
      <c r="B177" s="15" t="inlineStr">
        <is>
          <t>EQ-172</t>
        </is>
      </c>
      <c r="C177" s="15" t="inlineStr">
        <is>
          <t>Master Cascade</t>
        </is>
      </c>
      <c r="D177" s="15" t="inlineStr">
        <is>
          <t>EQ-171</t>
        </is>
      </c>
      <c r="E177" s="15" t="inlineStr">
        <is>
          <t>EQ-173</t>
        </is>
      </c>
      <c r="F177" s="15" t="inlineStr">
        <is>
          <t>C0-C7</t>
        </is>
      </c>
      <c r="G177" s="15" t="inlineStr">
        <is>
          <t>SOURCE-CODED</t>
        </is>
      </c>
      <c r="H177" s="15" t="inlineStr">
        <is>
          <t>Topological placeholder; branch-specific dependencies override simple serial adjacency.</t>
        </is>
      </c>
    </row>
    <row r="178">
      <c r="A178" s="15" t="inlineStr">
        <is>
          <t>LIN-173</t>
        </is>
      </c>
      <c r="B178" s="15" t="inlineStr">
        <is>
          <t>EQ-173</t>
        </is>
      </c>
      <c r="C178" s="15" t="inlineStr">
        <is>
          <t>Master Cascade</t>
        </is>
      </c>
      <c r="D178" s="15" t="inlineStr">
        <is>
          <t>EQ-172</t>
        </is>
      </c>
      <c r="E178" s="15" t="inlineStr">
        <is>
          <t>EQ-174</t>
        </is>
      </c>
      <c r="F178" s="15" t="inlineStr">
        <is>
          <t>C0-C7</t>
        </is>
      </c>
      <c r="G178" s="15" t="inlineStr">
        <is>
          <t>SOURCE-CODED</t>
        </is>
      </c>
      <c r="H178" s="15" t="inlineStr">
        <is>
          <t>Topological placeholder; branch-specific dependencies override simple serial adjacency.</t>
        </is>
      </c>
    </row>
    <row r="179">
      <c r="A179" s="15" t="inlineStr">
        <is>
          <t>LIN-174</t>
        </is>
      </c>
      <c r="B179" s="15" t="inlineStr">
        <is>
          <t>EQ-174</t>
        </is>
      </c>
      <c r="C179" s="15" t="inlineStr">
        <is>
          <t>Master Cascade</t>
        </is>
      </c>
      <c r="D179" s="15" t="inlineStr">
        <is>
          <t>EQ-173</t>
        </is>
      </c>
      <c r="E179" s="15" t="inlineStr">
        <is>
          <t>ROSETTA</t>
        </is>
      </c>
      <c r="F179" s="15" t="inlineStr">
        <is>
          <t>C0-C7</t>
        </is>
      </c>
      <c r="G179" s="15" t="inlineStr">
        <is>
          <t>SOURCE-CODED</t>
        </is>
      </c>
      <c r="H179" s="15" t="inlineStr">
        <is>
          <t>Topological placeholder; branch-specific dependencies override simple serial adjacency.</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tabColor rgb="002B7A78"/>
    <outlinePr summaryBelow="1" summaryRight="1"/>
    <pageSetUpPr/>
  </sheetPr>
  <dimension ref="A1:G3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52" customWidth="1" min="2" max="2"/>
    <col width="34" customWidth="1" min="3" max="3"/>
    <col width="24" customWidth="1" min="4" max="4"/>
    <col width="18" customWidth="1" min="5" max="5"/>
    <col width="28" customWidth="1" min="6" max="6"/>
    <col width="48" customWidth="1" min="7" max="7"/>
  </cols>
  <sheetData>
    <row r="1" ht="32" customHeight="1">
      <c r="A1" s="13" t="inlineStr">
        <is>
          <t>DERIVATION REGISTRY</t>
        </is>
      </c>
    </row>
    <row r="2" ht="38" customHeight="1">
      <c r="A2" s="12" t="inlineStr">
        <is>
          <t>Source-registered derivation relations and validation branches.</t>
        </is>
      </c>
    </row>
    <row r="5">
      <c r="A5" s="14" t="inlineStr">
        <is>
          <t>DER ID</t>
        </is>
      </c>
      <c r="B5" s="14" t="inlineStr">
        <is>
          <t>Statement</t>
        </is>
      </c>
      <c r="C5" s="14" t="inlineStr">
        <is>
          <t>Predecessors</t>
        </is>
      </c>
      <c r="D5" s="14" t="inlineStr">
        <is>
          <t>Status</t>
        </is>
      </c>
      <c r="E5" s="14" t="inlineStr">
        <is>
          <t>Layer</t>
        </is>
      </c>
      <c r="F5" s="14" t="inlineStr">
        <is>
          <t>Branch</t>
        </is>
      </c>
      <c r="G5" s="14" t="inlineStr">
        <is>
          <t>Governance</t>
        </is>
      </c>
    </row>
    <row r="6">
      <c r="A6" s="15" t="inlineStr">
        <is>
          <t>AX-SDR-001..005</t>
        </is>
      </c>
      <c r="B6" s="15" t="inlineStr">
        <is>
          <t>Strict Dependency Relation axioms</t>
        </is>
      </c>
      <c r="C6" s="15" t="inlineStr">
        <is>
          <t>Primitive/DAG</t>
        </is>
      </c>
      <c r="D6" s="15" t="inlineStr">
        <is>
          <t>CERTIFIED</t>
        </is>
      </c>
      <c r="E6" s="15" t="inlineStr">
        <is>
          <t>C0</t>
        </is>
      </c>
      <c r="F6" s="15" t="inlineStr">
        <is>
          <t>MDCL</t>
        </is>
      </c>
      <c r="G6" s="15" t="inlineStr">
        <is>
          <t>Dependency basis</t>
        </is>
      </c>
    </row>
    <row r="7">
      <c r="A7" s="15" t="inlineStr">
        <is>
          <t>CMRC-001..019</t>
        </is>
      </c>
      <c r="B7" s="15" t="inlineStr">
        <is>
          <t>Conformal Math Recovery Core</t>
        </is>
      </c>
      <c r="C7" s="15" t="inlineStr">
        <is>
          <t>PRIM-G-001..003</t>
        </is>
      </c>
      <c r="D7" s="15" t="inlineStr">
        <is>
          <t>CERTIFIED</t>
        </is>
      </c>
      <c r="E7" s="15" t="inlineStr">
        <is>
          <t>C4/C5</t>
        </is>
      </c>
      <c r="F7" s="15" t="inlineStr">
        <is>
          <t>Conformal</t>
        </is>
      </c>
      <c r="G7" s="15" t="inlineStr">
        <is>
          <t>Scope assumptions retained</t>
        </is>
      </c>
    </row>
    <row r="8">
      <c r="A8" s="15" t="inlineStr">
        <is>
          <t>DER-GAU-002</t>
        </is>
      </c>
      <c r="B8" s="15" t="inlineStr">
        <is>
          <t>Field strength F_ab</t>
        </is>
      </c>
      <c r="C8" s="15" t="inlineStr">
        <is>
          <t>GAU-001</t>
        </is>
      </c>
      <c r="D8" s="15" t="inlineStr">
        <is>
          <t>CERTIFIED</t>
        </is>
      </c>
      <c r="E8" s="15" t="inlineStr">
        <is>
          <t>C5</t>
        </is>
      </c>
      <c r="F8" s="15" t="inlineStr">
        <is>
          <t>Gauge</t>
        </is>
      </c>
      <c r="G8" s="15" t="inlineStr"/>
    </row>
    <row r="9">
      <c r="A9" s="15" t="inlineStr">
        <is>
          <t>DER-GAU-003</t>
        </is>
      </c>
      <c r="B9" s="15" t="inlineStr">
        <is>
          <t>Covariant derivative D_mu</t>
        </is>
      </c>
      <c r="C9" s="15" t="inlineStr">
        <is>
          <t>GAU-001, GEO-002</t>
        </is>
      </c>
      <c r="D9" s="15" t="inlineStr">
        <is>
          <t>CERTIFIED</t>
        </is>
      </c>
      <c r="E9" s="15" t="inlineStr">
        <is>
          <t>C5</t>
        </is>
      </c>
      <c r="F9" s="15" t="inlineStr">
        <is>
          <t>Gauge</t>
        </is>
      </c>
      <c r="G9" s="15" t="inlineStr"/>
    </row>
    <row r="10">
      <c r="A10" s="15" t="inlineStr">
        <is>
          <t>DER-GAU-004</t>
        </is>
      </c>
      <c r="B10" s="15" t="inlineStr">
        <is>
          <t>Yang-Mills equations</t>
        </is>
      </c>
      <c r="C10" s="15" t="inlineStr">
        <is>
          <t>GAU-002, GAU-003</t>
        </is>
      </c>
      <c r="D10" s="15" t="inlineStr">
        <is>
          <t>CERTIFIED</t>
        </is>
      </c>
      <c r="E10" s="15" t="inlineStr">
        <is>
          <t>C5</t>
        </is>
      </c>
      <c r="F10" s="15" t="inlineStr">
        <is>
          <t>Gauge</t>
        </is>
      </c>
      <c r="G10" s="15" t="inlineStr"/>
    </row>
    <row r="11">
      <c r="A11" s="15" t="inlineStr">
        <is>
          <t>DER-QR-001</t>
        </is>
      </c>
      <c r="B11" s="15" t="inlineStr">
        <is>
          <t>Hilbert space H</t>
        </is>
      </c>
      <c r="C11" s="15" t="inlineStr">
        <is>
          <t>SPC-003</t>
        </is>
      </c>
      <c r="D11" s="15" t="inlineStr">
        <is>
          <t>CERTIFIED</t>
        </is>
      </c>
      <c r="E11" s="15" t="inlineStr">
        <is>
          <t>C6</t>
        </is>
      </c>
      <c r="F11" s="15" t="inlineStr">
        <is>
          <t>Quantum</t>
        </is>
      </c>
      <c r="G11" s="15" t="inlineStr"/>
    </row>
    <row r="12">
      <c r="A12" s="15" t="inlineStr">
        <is>
          <t>DER-QR-002</t>
        </is>
      </c>
      <c r="B12" s="15" t="inlineStr">
        <is>
          <t>Schrodinger equation</t>
        </is>
      </c>
      <c r="C12" s="15" t="inlineStr">
        <is>
          <t>QR-001, SPC-003</t>
        </is>
      </c>
      <c r="D12" s="15" t="inlineStr">
        <is>
          <t>CERTIFIED</t>
        </is>
      </c>
      <c r="E12" s="15" t="inlineStr">
        <is>
          <t>C6</t>
        </is>
      </c>
      <c r="F12" s="15" t="inlineStr">
        <is>
          <t>Quantum</t>
        </is>
      </c>
      <c r="G12" s="15" t="inlineStr"/>
    </row>
    <row r="13">
      <c r="A13" s="15" t="inlineStr">
        <is>
          <t>DER-QR-003</t>
        </is>
      </c>
      <c r="B13" s="15" t="inlineStr">
        <is>
          <t>Heisenberg equation</t>
        </is>
      </c>
      <c r="C13" s="15" t="inlineStr">
        <is>
          <t>QR-002</t>
        </is>
      </c>
      <c r="D13" s="15" t="inlineStr">
        <is>
          <t>CERTIFIED</t>
        </is>
      </c>
      <c r="E13" s="15" t="inlineStr">
        <is>
          <t>C6</t>
        </is>
      </c>
      <c r="F13" s="15" t="inlineStr">
        <is>
          <t>Quantum</t>
        </is>
      </c>
      <c r="G13" s="15" t="inlineStr"/>
    </row>
    <row r="14">
      <c r="A14" s="15" t="inlineStr">
        <is>
          <t>DER-QR-004</t>
        </is>
      </c>
      <c r="B14" s="15" t="inlineStr">
        <is>
          <t>Uncertainty relation</t>
        </is>
      </c>
      <c r="C14" s="15" t="inlineStr">
        <is>
          <t>QR-003</t>
        </is>
      </c>
      <c r="D14" s="15" t="inlineStr">
        <is>
          <t>CERTIFIED</t>
        </is>
      </c>
      <c r="E14" s="15" t="inlineStr">
        <is>
          <t>C6</t>
        </is>
      </c>
      <c r="F14" s="15" t="inlineStr">
        <is>
          <t>Quantum</t>
        </is>
      </c>
      <c r="G14" s="15" t="inlineStr"/>
    </row>
    <row r="15">
      <c r="A15" s="15" t="inlineStr">
        <is>
          <t>DER-QR-005</t>
        </is>
      </c>
      <c r="B15" s="15" t="inlineStr">
        <is>
          <t>Clifford algebra</t>
        </is>
      </c>
      <c r="C15" s="15" t="inlineStr">
        <is>
          <t>GEO-001</t>
        </is>
      </c>
      <c r="D15" s="15" t="inlineStr">
        <is>
          <t>CERTIFIED</t>
        </is>
      </c>
      <c r="E15" s="15" t="inlineStr">
        <is>
          <t>C6</t>
        </is>
      </c>
      <c r="F15" s="15" t="inlineStr">
        <is>
          <t>Quantum</t>
        </is>
      </c>
      <c r="G15" s="15" t="inlineStr"/>
    </row>
    <row r="16">
      <c r="A16" s="15" t="inlineStr">
        <is>
          <t>DER-QR-006</t>
        </is>
      </c>
      <c r="B16" s="15" t="inlineStr">
        <is>
          <t>Dirac operator</t>
        </is>
      </c>
      <c r="C16" s="15" t="inlineStr">
        <is>
          <t>QR-005, GAU-003</t>
        </is>
      </c>
      <c r="D16" s="15" t="inlineStr">
        <is>
          <t>CERTIFIED</t>
        </is>
      </c>
      <c r="E16" s="15" t="inlineStr">
        <is>
          <t>C6</t>
        </is>
      </c>
      <c r="F16" s="15" t="inlineStr">
        <is>
          <t>Quantum</t>
        </is>
      </c>
      <c r="G16" s="15" t="inlineStr"/>
    </row>
    <row r="17">
      <c r="A17" s="15" t="inlineStr">
        <is>
          <t>DER-QR-007</t>
        </is>
      </c>
      <c r="B17" s="15" t="inlineStr">
        <is>
          <t>Spin recovery</t>
        </is>
      </c>
      <c r="C17" s="15" t="inlineStr">
        <is>
          <t>QR-006</t>
        </is>
      </c>
      <c r="D17" s="15" t="inlineStr">
        <is>
          <t>CERTIFIED</t>
        </is>
      </c>
      <c r="E17" s="15" t="inlineStr">
        <is>
          <t>C6</t>
        </is>
      </c>
      <c r="F17" s="15" t="inlineStr">
        <is>
          <t>Quantum</t>
        </is>
      </c>
      <c r="G17" s="15" t="inlineStr"/>
    </row>
    <row r="18">
      <c r="A18" s="15" t="inlineStr">
        <is>
          <t>DER-QR-008</t>
        </is>
      </c>
      <c r="B18" s="15" t="inlineStr">
        <is>
          <t>Magnetic moment</t>
        </is>
      </c>
      <c r="C18" s="15" t="inlineStr">
        <is>
          <t>QR-007, GAU-001</t>
        </is>
      </c>
      <c r="D18" s="15" t="inlineStr">
        <is>
          <t>CERTIFIED</t>
        </is>
      </c>
      <c r="E18" s="15" t="inlineStr">
        <is>
          <t>C6</t>
        </is>
      </c>
      <c r="F18" s="15" t="inlineStr">
        <is>
          <t>Quantum</t>
        </is>
      </c>
      <c r="G18" s="15" t="inlineStr"/>
    </row>
    <row r="19">
      <c r="A19" s="15" t="inlineStr">
        <is>
          <t>DER-TRC-001</t>
        </is>
      </c>
      <c r="B19" s="15" t="inlineStr">
        <is>
          <t>Internal energy / first law</t>
        </is>
      </c>
      <c r="C19" s="15" t="inlineStr">
        <is>
          <t>PRIM-P-001</t>
        </is>
      </c>
      <c r="D19" s="15" t="inlineStr">
        <is>
          <t>CERTIFIED</t>
        </is>
      </c>
      <c r="E19" s="15" t="inlineStr">
        <is>
          <t>C5</t>
        </is>
      </c>
      <c r="F19" s="15" t="inlineStr">
        <is>
          <t>Thermodynamic</t>
        </is>
      </c>
      <c r="G19" s="15" t="inlineStr"/>
    </row>
    <row r="20">
      <c r="A20" s="15" t="inlineStr">
        <is>
          <t>DER-TRC-002</t>
        </is>
      </c>
      <c r="B20" s="15" t="inlineStr">
        <is>
          <t>Entropy S=k_B ln W</t>
        </is>
      </c>
      <c r="C20" s="15" t="inlineStr">
        <is>
          <t>TRC-001</t>
        </is>
      </c>
      <c r="D20" s="15" t="inlineStr">
        <is>
          <t>CERTIFIED</t>
        </is>
      </c>
      <c r="E20" s="15" t="inlineStr">
        <is>
          <t>C5</t>
        </is>
      </c>
      <c r="F20" s="15" t="inlineStr">
        <is>
          <t>Thermodynamic</t>
        </is>
      </c>
      <c r="G20" s="15" t="inlineStr"/>
    </row>
    <row r="21">
      <c r="A21" s="15" t="inlineStr">
        <is>
          <t>DER-TRC-003</t>
        </is>
      </c>
      <c r="B21" s="15" t="inlineStr">
        <is>
          <t>Entropy flux J_s=J_q/T</t>
        </is>
      </c>
      <c r="C21" s="15" t="inlineStr">
        <is>
          <t>TRC-002</t>
        </is>
      </c>
      <c r="D21" s="15" t="inlineStr">
        <is>
          <t>CERTIFIED</t>
        </is>
      </c>
      <c r="E21" s="15" t="inlineStr">
        <is>
          <t>C5</t>
        </is>
      </c>
      <c r="F21" s="15" t="inlineStr">
        <is>
          <t>Thermodynamic</t>
        </is>
      </c>
      <c r="G21" s="15" t="inlineStr"/>
    </row>
    <row r="22">
      <c r="A22" s="15" t="inlineStr">
        <is>
          <t>DER-TRC-004</t>
        </is>
      </c>
      <c r="B22" s="15" t="inlineStr">
        <is>
          <t>Clausius-Duhem inequality</t>
        </is>
      </c>
      <c r="C22" s="15" t="inlineStr">
        <is>
          <t>TRC-002,TRC-003</t>
        </is>
      </c>
      <c r="D22" s="15" t="inlineStr">
        <is>
          <t>CERTIFIED</t>
        </is>
      </c>
      <c r="E22" s="15" t="inlineStr">
        <is>
          <t>C5</t>
        </is>
      </c>
      <c r="F22" s="15" t="inlineStr">
        <is>
          <t>Thermodynamic</t>
        </is>
      </c>
      <c r="G22" s="15" t="inlineStr"/>
    </row>
    <row r="23">
      <c r="A23" s="15" t="inlineStr">
        <is>
          <t>DER-TRC-005</t>
        </is>
      </c>
      <c r="B23" s="15" t="inlineStr">
        <is>
          <t>Fourier heat flux J_q=-κ∇T</t>
        </is>
      </c>
      <c r="C23" s="15" t="inlineStr">
        <is>
          <t>TRC-003</t>
        </is>
      </c>
      <c r="D23" s="15" t="inlineStr">
        <is>
          <t>CERTIFIED</t>
        </is>
      </c>
      <c r="E23" s="15" t="inlineStr">
        <is>
          <t>C5</t>
        </is>
      </c>
      <c r="F23" s="15" t="inlineStr">
        <is>
          <t>Thermodynamic</t>
        </is>
      </c>
      <c r="G23" s="15" t="inlineStr"/>
    </row>
    <row r="24">
      <c r="A24" s="15" t="inlineStr">
        <is>
          <t>DER-TRC-006</t>
        </is>
      </c>
      <c r="B24" s="15" t="inlineStr">
        <is>
          <t>Π_O thermodynamic side</t>
        </is>
      </c>
      <c r="C24" s="15" t="inlineStr">
        <is>
          <t>TRC-002,SPC-003</t>
        </is>
      </c>
      <c r="D24" s="15" t="inlineStr">
        <is>
          <t>OPEN</t>
        </is>
      </c>
      <c r="E24" s="15" t="inlineStr">
        <is>
          <t>C5</t>
        </is>
      </c>
      <c r="F24" s="15" t="inlineStr">
        <is>
          <t>Thermodynamic</t>
        </is>
      </c>
      <c r="G24" s="15" t="inlineStr">
        <is>
          <t>Proof obligation</t>
        </is>
      </c>
    </row>
    <row r="25">
      <c r="A25" s="15" t="inlineStr">
        <is>
          <t>VAL-001</t>
        </is>
      </c>
      <c r="B25" s="15" t="inlineStr">
        <is>
          <t>String Theory (bosonic, critical dim=26)</t>
        </is>
      </c>
      <c r="C25" s="15" t="inlineStr">
        <is>
          <t>CMRC-001..019</t>
        </is>
      </c>
      <c r="D25" s="15" t="inlineStr">
        <is>
          <t>CERTIFIED</t>
        </is>
      </c>
      <c r="E25" s="15" t="inlineStr">
        <is>
          <t>C4</t>
        </is>
      </c>
      <c r="F25" s="15" t="inlineStr">
        <is>
          <t>Validation</t>
        </is>
      </c>
      <c r="G25" s="15" t="inlineStr"/>
    </row>
    <row r="26">
      <c r="A26" s="15" t="inlineStr">
        <is>
          <t>VAL-002</t>
        </is>
      </c>
      <c r="B26" s="15" t="inlineStr">
        <is>
          <t>Maxwell Electrodynamics</t>
        </is>
      </c>
      <c r="C26" s="15" t="inlineStr">
        <is>
          <t>DER-GAU-001..004</t>
        </is>
      </c>
      <c r="D26" s="15" t="inlineStr">
        <is>
          <t>CERTIFIED</t>
        </is>
      </c>
      <c r="E26" s="15" t="inlineStr">
        <is>
          <t>C5</t>
        </is>
      </c>
      <c r="F26" s="15" t="inlineStr">
        <is>
          <t>Validation</t>
        </is>
      </c>
      <c r="G26" s="15" t="inlineStr"/>
    </row>
    <row r="27">
      <c r="A27" s="15" t="inlineStr">
        <is>
          <t>VAL-003</t>
        </is>
      </c>
      <c r="B27" s="15" t="inlineStr">
        <is>
          <t>GR Matter Coupling</t>
        </is>
      </c>
      <c r="C27" s="15" t="inlineStr">
        <is>
          <t>DER-VAR-005,DER-TRC-001</t>
        </is>
      </c>
      <c r="D27" s="15" t="inlineStr">
        <is>
          <t>CERTIFIED</t>
        </is>
      </c>
      <c r="E27" s="15" t="inlineStr">
        <is>
          <t>C5</t>
        </is>
      </c>
      <c r="F27" s="15" t="inlineStr">
        <is>
          <t>Validation</t>
        </is>
      </c>
      <c r="G27" s="15" t="inlineStr"/>
    </row>
    <row r="28">
      <c r="A28" s="15" t="inlineStr">
        <is>
          <t>VAL-004</t>
        </is>
      </c>
      <c r="B28" s="15" t="inlineStr">
        <is>
          <t>Quantum Mechanics</t>
        </is>
      </c>
      <c r="C28" s="15" t="inlineStr">
        <is>
          <t>DER-QR-001..006</t>
        </is>
      </c>
      <c r="D28" s="15" t="inlineStr">
        <is>
          <t>CERTIFIED</t>
        </is>
      </c>
      <c r="E28" s="15" t="inlineStr">
        <is>
          <t>C6</t>
        </is>
      </c>
      <c r="F28" s="15" t="inlineStr">
        <is>
          <t>Validation</t>
        </is>
      </c>
      <c r="G28" s="15" t="inlineStr"/>
    </row>
    <row r="29">
      <c r="A29" s="15" t="inlineStr">
        <is>
          <t>VAL-005</t>
        </is>
      </c>
      <c r="B29" s="15" t="inlineStr">
        <is>
          <t>Hamiltonian Mechanics</t>
        </is>
      </c>
      <c r="C29" s="15" t="inlineStr">
        <is>
          <t>DER-VAR-003,DER-QR-001</t>
        </is>
      </c>
      <c r="D29" s="15" t="inlineStr">
        <is>
          <t>CERTIFIED</t>
        </is>
      </c>
      <c r="E29" s="15" t="inlineStr">
        <is>
          <t>C4/C6</t>
        </is>
      </c>
      <c r="F29" s="15" t="inlineStr">
        <is>
          <t>Validation</t>
        </is>
      </c>
      <c r="G29" s="15" t="inlineStr"/>
    </row>
    <row r="30">
      <c r="A30" s="15" t="inlineStr">
        <is>
          <t>THM-ANOM</t>
        </is>
      </c>
      <c r="B30" s="15" t="inlineStr">
        <is>
          <t>G_SM=SU(3)xSU(2)xU(1) derivation</t>
        </is>
      </c>
      <c r="C30" s="15" t="inlineStr">
        <is>
          <t>DER-QR-006</t>
        </is>
      </c>
      <c r="D30" s="15" t="inlineStr">
        <is>
          <t>CERTIFIED</t>
        </is>
      </c>
      <c r="E30" s="15" t="inlineStr">
        <is>
          <t>C5</t>
        </is>
      </c>
      <c r="F30" s="15" t="inlineStr">
        <is>
          <t>Gauge</t>
        </is>
      </c>
      <c r="G30" s="15" t="inlineStr">
        <is>
          <t>Prior project result retained</t>
        </is>
      </c>
    </row>
    <row r="31">
      <c r="A31" s="15" t="inlineStr">
        <is>
          <t>RF-001</t>
        </is>
      </c>
      <c r="B31" s="15" t="inlineStr">
        <is>
          <t>R:Graph_ARBS→Field(M) covariant-functor well-definedness</t>
        </is>
      </c>
      <c r="C31" s="15" t="inlineStr">
        <is>
          <t>ARBS</t>
        </is>
      </c>
      <c r="D31" s="15" t="inlineStr">
        <is>
          <t>CERTIFIED</t>
        </is>
      </c>
      <c r="E31" s="15" t="inlineStr">
        <is>
          <t>C3</t>
        </is>
      </c>
      <c r="F31" s="15" t="inlineStr">
        <is>
          <t>Continuum</t>
        </is>
      </c>
      <c r="G31"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tabColor rgb="00C89B3C"/>
    <outlinePr summaryBelow="1" summaryRight="1"/>
    <pageSetUpPr/>
  </sheetPr>
  <dimension ref="A1:I20"/>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2" customWidth="1" min="2" max="2"/>
    <col width="22" customWidth="1" min="3" max="3"/>
    <col width="34" customWidth="1" min="4" max="4"/>
    <col width="62" customWidth="1" min="5" max="5"/>
    <col width="26" customWidth="1" min="6" max="6"/>
    <col width="28" customWidth="1" min="7" max="7"/>
    <col width="18" customWidth="1" min="8" max="8"/>
    <col width="42" customWidth="1" min="9" max="9"/>
  </cols>
  <sheetData>
    <row r="1" ht="32" customHeight="1">
      <c r="A1" s="13" t="inlineStr">
        <is>
          <t>BRIDGE EQUATION REGISTRY</t>
        </is>
      </c>
    </row>
    <row r="2" ht="38" customHeight="1">
      <c r="A2" s="12" t="inlineStr">
        <is>
          <t>Registered mathematical bridges from the closure-execution workbooks.</t>
        </is>
      </c>
    </row>
    <row r="5">
      <c r="A5" s="14" t="inlineStr">
        <is>
          <t>Bridge</t>
        </is>
      </c>
      <c r="B5" s="14" t="inlineStr">
        <is>
          <t>From</t>
        </is>
      </c>
      <c r="C5" s="14" t="inlineStr">
        <is>
          <t>To</t>
        </is>
      </c>
      <c r="D5" s="14" t="inlineStr">
        <is>
          <t>Name</t>
        </is>
      </c>
      <c r="E5" s="14" t="inlineStr">
        <is>
          <t>Equation</t>
        </is>
      </c>
      <c r="F5" s="14" t="inlineStr">
        <is>
          <t>Derivation</t>
        </is>
      </c>
      <c r="G5" s="14" t="inlineStr">
        <is>
          <t>Closure</t>
        </is>
      </c>
      <c r="H5" s="14" t="inlineStr">
        <is>
          <t>Layer</t>
        </is>
      </c>
      <c r="I5" s="14" t="inlineStr">
        <is>
          <t>Governance</t>
        </is>
      </c>
    </row>
    <row r="6">
      <c r="A6" s="15" t="inlineStr">
        <is>
          <t>BR-001</t>
        </is>
      </c>
      <c r="B6" s="15" t="inlineStr">
        <is>
          <t>Primitive/Grammar</t>
        </is>
      </c>
      <c r="C6" s="15" t="inlineStr">
        <is>
          <t>Γ</t>
        </is>
      </c>
      <c r="D6" s="15" t="inlineStr">
        <is>
          <t>Grammar composition</t>
        </is>
      </c>
      <c r="E6" s="15" t="inlineStr">
        <is>
          <t>(Δ,τ,κ,Π)→Γ</t>
        </is>
      </c>
      <c r="F6" s="15" t="inlineStr">
        <is>
          <t>CERTIFIED SPINE</t>
        </is>
      </c>
      <c r="G6" s="15" t="inlineStr">
        <is>
          <t>C0 uniqueness open</t>
        </is>
      </c>
      <c r="H6" s="15" t="inlineStr">
        <is>
          <t>C0</t>
        </is>
      </c>
      <c r="I6" s="15" t="inlineStr">
        <is>
          <t>Source-derived</t>
        </is>
      </c>
    </row>
    <row r="7">
      <c r="A7" s="15" t="inlineStr">
        <is>
          <t>BR-002</t>
        </is>
      </c>
      <c r="B7" s="15" t="inlineStr">
        <is>
          <t>Γ</t>
        </is>
      </c>
      <c r="C7" s="15" t="inlineStr">
        <is>
          <t>O→Ψ</t>
        </is>
      </c>
      <c r="D7" s="15" t="inlineStr">
        <is>
          <t>Organizational evolution</t>
        </is>
      </c>
      <c r="E7" s="15" t="inlineStr">
        <is>
          <t>Γ→O→Ψ</t>
        </is>
      </c>
      <c r="F7" s="15" t="inlineStr">
        <is>
          <t>CERTIFIED/PARTIAL</t>
        </is>
      </c>
      <c r="G7" s="15" t="inlineStr">
        <is>
          <t>Fixed-point open</t>
        </is>
      </c>
      <c r="H7" s="15" t="inlineStr">
        <is>
          <t>C1</t>
        </is>
      </c>
      <c r="I7" s="15" t="inlineStr">
        <is>
          <t>Source-derived</t>
        </is>
      </c>
    </row>
    <row r="8">
      <c r="A8" s="15" t="inlineStr">
        <is>
          <t>BR-003</t>
        </is>
      </c>
      <c r="B8" s="15" t="inlineStr">
        <is>
          <t>Ψ</t>
        </is>
      </c>
      <c r="C8" s="15" t="inlineStr">
        <is>
          <t>G</t>
        </is>
      </c>
      <c r="D8" s="15" t="inlineStr">
        <is>
          <t>State to graph</t>
        </is>
      </c>
      <c r="E8" s="15" t="inlineStr">
        <is>
          <t>Ψ→G</t>
        </is>
      </c>
      <c r="F8" s="15" t="inlineStr">
        <is>
          <t>CALCULATED/SCOPED</t>
        </is>
      </c>
      <c r="G8" s="15" t="inlineStr">
        <is>
          <t>Representation universality open</t>
        </is>
      </c>
      <c r="H8" s="15" t="inlineStr">
        <is>
          <t>C0/C3</t>
        </is>
      </c>
      <c r="I8" s="15" t="inlineStr">
        <is>
          <t>Source-derived</t>
        </is>
      </c>
    </row>
    <row r="9">
      <c r="A9" s="15" t="inlineStr">
        <is>
          <t>BR-004</t>
        </is>
      </c>
      <c r="B9" s="15" t="inlineStr">
        <is>
          <t>G</t>
        </is>
      </c>
      <c r="C9" s="15" t="inlineStr">
        <is>
          <t>L</t>
        </is>
      </c>
      <c r="D9" s="15" t="inlineStr">
        <is>
          <t>Graph to Laplacian</t>
        </is>
      </c>
      <c r="E9" s="15" t="inlineStr">
        <is>
          <t>L=D−A</t>
        </is>
      </c>
      <c r="F9" s="15" t="inlineStr">
        <is>
          <t>CERTIFIED</t>
        </is>
      </c>
      <c r="G9" s="15" t="inlineStr">
        <is>
          <t>Graph assumptions</t>
        </is>
      </c>
      <c r="H9" s="15" t="inlineStr">
        <is>
          <t>C2</t>
        </is>
      </c>
      <c r="I9" s="15" t="inlineStr">
        <is>
          <t>Source-derived</t>
        </is>
      </c>
    </row>
    <row r="10">
      <c r="A10" s="15" t="inlineStr">
        <is>
          <t>BR-005</t>
        </is>
      </c>
      <c r="B10" s="15" t="inlineStr">
        <is>
          <t>L</t>
        </is>
      </c>
      <c r="C10" s="15" t="inlineStr">
        <is>
          <t>Spec(L)</t>
        </is>
      </c>
      <c r="D10" s="15" t="inlineStr">
        <is>
          <t>Spectral decomposition</t>
        </is>
      </c>
      <c r="E10" s="15" t="inlineStr">
        <is>
          <t>Lφ_i=λ_iφ_i</t>
        </is>
      </c>
      <c r="F10" s="15" t="inlineStr">
        <is>
          <t>CERTIFIED</t>
        </is>
      </c>
      <c r="G10" s="15" t="inlineStr">
        <is>
          <t>Finite/self-adjoint assumptions</t>
        </is>
      </c>
      <c r="H10" s="15" t="inlineStr">
        <is>
          <t>C2</t>
        </is>
      </c>
      <c r="I10" s="15" t="inlineStr">
        <is>
          <t>Source-derived</t>
        </is>
      </c>
    </row>
    <row r="11">
      <c r="A11" s="15" t="inlineStr">
        <is>
          <t>BR-006</t>
        </is>
      </c>
      <c r="B11" s="15" t="inlineStr">
        <is>
          <t>Spec(L)</t>
        </is>
      </c>
      <c r="C11" s="15" t="inlineStr">
        <is>
          <t>K_t</t>
        </is>
      </c>
      <c r="D11" s="15" t="inlineStr">
        <is>
          <t>Heat semigroup</t>
        </is>
      </c>
      <c r="E11" s="15" t="inlineStr">
        <is>
          <t>H(t)=e^{-tL}</t>
        </is>
      </c>
      <c r="F11" s="15" t="inlineStr">
        <is>
          <t>CERTIFIED</t>
        </is>
      </c>
      <c r="G11" s="15" t="inlineStr">
        <is>
          <t>Semigroup assumptions</t>
        </is>
      </c>
      <c r="H11" s="15" t="inlineStr">
        <is>
          <t>C2</t>
        </is>
      </c>
      <c r="I11" s="15" t="inlineStr">
        <is>
          <t>Source-derived</t>
        </is>
      </c>
    </row>
    <row r="12">
      <c r="A12" s="15" t="inlineStr">
        <is>
          <t>BR-007</t>
        </is>
      </c>
      <c r="B12" s="15" t="inlineStr">
        <is>
          <t>Spec(L)</t>
        </is>
      </c>
      <c r="C12" s="15" t="inlineStr">
        <is>
          <t>D_t</t>
        </is>
      </c>
      <c r="D12" s="15" t="inlineStr">
        <is>
          <t>Diffusion distance</t>
        </is>
      </c>
      <c r="E12" s="15" t="inlineStr">
        <is>
          <t>spectral diffusion-distance construction</t>
        </is>
      </c>
      <c r="F12" s="15" t="inlineStr">
        <is>
          <t>CERTIFIED</t>
        </is>
      </c>
      <c r="G12" s="15" t="inlineStr">
        <is>
          <t>Depends on heat kernel</t>
        </is>
      </c>
      <c r="H12" s="15" t="inlineStr">
        <is>
          <t>C3</t>
        </is>
      </c>
      <c r="I12" s="15" t="inlineStr">
        <is>
          <t>Source-derived</t>
        </is>
      </c>
    </row>
    <row r="13">
      <c r="A13" s="15" t="inlineStr">
        <is>
          <t>BR-008</t>
        </is>
      </c>
      <c r="B13" s="15" t="inlineStr">
        <is>
          <t>D_t</t>
        </is>
      </c>
      <c r="C13" s="15" t="inlineStr">
        <is>
          <t>g</t>
        </is>
      </c>
      <c r="D13" s="15" t="inlineStr">
        <is>
          <t>Distance to metric</t>
        </is>
      </c>
      <c r="E13" s="15" t="inlineStr">
        <is>
          <t>diffusion distance→metric</t>
        </is>
      </c>
      <c r="F13" s="15" t="inlineStr">
        <is>
          <t>CERTIFIED</t>
        </is>
      </c>
      <c r="G13" s="15" t="inlineStr">
        <is>
          <t>Metric reconstruction</t>
        </is>
      </c>
      <c r="H13" s="15" t="inlineStr">
        <is>
          <t>C3</t>
        </is>
      </c>
      <c r="I13" s="15" t="inlineStr">
        <is>
          <t>Source-derived</t>
        </is>
      </c>
    </row>
    <row r="14">
      <c r="A14" s="15" t="inlineStr">
        <is>
          <t>BR-009</t>
        </is>
      </c>
      <c r="B14" s="15" t="inlineStr">
        <is>
          <t>g</t>
        </is>
      </c>
      <c r="C14" s="15" t="inlineStr">
        <is>
          <t>∇</t>
        </is>
      </c>
      <c r="D14" s="15" t="inlineStr">
        <is>
          <t>Metric to connection</t>
        </is>
      </c>
      <c r="E14" s="15" t="inlineStr">
        <is>
          <t>Γ^ρ_{μν}=1/2g^{ρσ}(∂_μg_{σν}+∂_νg_{μσ}−∂_σg_{μν})</t>
        </is>
      </c>
      <c r="F14" s="15" t="inlineStr">
        <is>
          <t>CERTIFIED</t>
        </is>
      </c>
      <c r="G14" s="15" t="inlineStr">
        <is>
          <t>Levi-Civita</t>
        </is>
      </c>
      <c r="H14" s="15" t="inlineStr">
        <is>
          <t>C3</t>
        </is>
      </c>
      <c r="I14" s="15" t="inlineStr">
        <is>
          <t>Source-derived</t>
        </is>
      </c>
    </row>
    <row r="15">
      <c r="A15" s="15" t="inlineStr">
        <is>
          <t>BR-010</t>
        </is>
      </c>
      <c r="B15" s="15" t="inlineStr">
        <is>
          <t>∇</t>
        </is>
      </c>
      <c r="C15" s="15" t="inlineStr">
        <is>
          <t>R/G</t>
        </is>
      </c>
      <c r="D15" s="15" t="inlineStr">
        <is>
          <t>Curvature</t>
        </is>
      </c>
      <c r="E15" s="15" t="inlineStr">
        <is>
          <t>R^ρ_{σμν}=∂_μΓ^ρ_{νσ}−∂_νΓ^ρ_{μσ}+Γ^ρ_{μλ}Γ^λ_{νσ}−Γ^ρ_{νλ}Γ^λ_{μσ}</t>
        </is>
      </c>
      <c r="F15" s="15" t="inlineStr">
        <is>
          <t>CERTIFIED</t>
        </is>
      </c>
      <c r="G15" s="15" t="inlineStr">
        <is>
          <t>Bianchi/conventions</t>
        </is>
      </c>
      <c r="H15" s="15" t="inlineStr">
        <is>
          <t>C3</t>
        </is>
      </c>
      <c r="I15" s="15" t="inlineStr">
        <is>
          <t>Source-derived</t>
        </is>
      </c>
    </row>
    <row r="16">
      <c r="A16" s="15" t="inlineStr">
        <is>
          <t>BR-024</t>
        </is>
      </c>
      <c r="B16" s="15" t="inlineStr">
        <is>
          <t>Ξ</t>
        </is>
      </c>
      <c r="C16" s="15" t="inlineStr">
        <is>
          <t>Λ_*→ρ_vac</t>
        </is>
      </c>
      <c r="D16" s="15" t="inlineStr">
        <is>
          <t>Cutoff-vacuum</t>
        </is>
      </c>
      <c r="E16" s="15" t="inlineStr">
        <is>
          <t>Λ_*=Ξ/ℓ_p; ρ_vac=(ℏc/16π²)Λ_*⁴</t>
        </is>
      </c>
      <c r="F16" s="15" t="inlineStr">
        <is>
          <t>DERIVED GIVEN Ξ</t>
        </is>
      </c>
      <c r="G16" s="15" t="inlineStr">
        <is>
          <t>Scale anchor upstream</t>
        </is>
      </c>
      <c r="H16" s="15" t="inlineStr">
        <is>
          <t>C7</t>
        </is>
      </c>
      <c r="I16" s="15" t="inlineStr">
        <is>
          <t>Source-derived</t>
        </is>
      </c>
    </row>
    <row r="17">
      <c r="A17" s="15" t="inlineStr">
        <is>
          <t>BR-026</t>
        </is>
      </c>
      <c r="B17" s="15" t="inlineStr">
        <is>
          <t>Γ</t>
        </is>
      </c>
      <c r="C17" s="15" t="inlineStr">
        <is>
          <t>Σ_H→P_H</t>
        </is>
      </c>
      <c r="D17" s="15" t="inlineStr">
        <is>
          <t>Horizon selection</t>
        </is>
      </c>
      <c r="E17" s="15" t="inlineStr">
        <is>
          <t>P_H²=P_H;P_H†=P_H</t>
        </is>
      </c>
      <c r="F17" s="15" t="inlineStr">
        <is>
          <t>OPEN</t>
        </is>
      </c>
      <c r="G17" s="15" t="inlineStr">
        <is>
          <t>Selector not generated</t>
        </is>
      </c>
      <c r="H17" s="15" t="inlineStr">
        <is>
          <t>C7</t>
        </is>
      </c>
      <c r="I17" s="15" t="inlineStr">
        <is>
          <t>Source-derived</t>
        </is>
      </c>
    </row>
    <row r="18">
      <c r="A18" s="15" t="inlineStr">
        <is>
          <t>BR-027</t>
        </is>
      </c>
      <c r="B18" s="15" t="inlineStr">
        <is>
          <t>P_H</t>
        </is>
      </c>
      <c r="C18" s="15" t="inlineStr">
        <is>
          <t>Z_H</t>
        </is>
      </c>
      <c r="D18" s="15" t="inlineStr">
        <is>
          <t>Localized heat trace</t>
        </is>
      </c>
      <c r="E18" s="15" t="inlineStr">
        <is>
          <t>Z_H(t)=Tr(P_He^{-tL}P_H)</t>
        </is>
      </c>
      <c r="F18" s="15" t="inlineStr">
        <is>
          <t>OPEN</t>
        </is>
      </c>
      <c r="G18" s="15" t="inlineStr">
        <is>
          <t>Depends on P_H</t>
        </is>
      </c>
      <c r="H18" s="15" t="inlineStr">
        <is>
          <t>C7</t>
        </is>
      </c>
      <c r="I18" s="15" t="inlineStr">
        <is>
          <t>Source-derived</t>
        </is>
      </c>
    </row>
    <row r="19">
      <c r="A19" s="15" t="inlineStr">
        <is>
          <t>BR-028</t>
        </is>
      </c>
      <c r="B19" s="15" t="inlineStr">
        <is>
          <t>Γ</t>
        </is>
      </c>
      <c r="C19" s="15" t="inlineStr">
        <is>
          <t>ℓ_*</t>
        </is>
      </c>
      <c r="D19" s="15" t="inlineStr">
        <is>
          <t>Absolute scale</t>
        </is>
      </c>
      <c r="E19" s="15" t="inlineStr">
        <is>
          <t>ℓ_*=C_UOCℓ_p</t>
        </is>
      </c>
      <c r="F19" s="15" t="inlineStr">
        <is>
          <t>OPEN</t>
        </is>
      </c>
      <c r="G19" s="15" t="inlineStr">
        <is>
          <t>C_UOC unresolved</t>
        </is>
      </c>
      <c r="H19" s="15" t="inlineStr">
        <is>
          <t>C4/C7</t>
        </is>
      </c>
      <c r="I19" s="15" t="inlineStr">
        <is>
          <t>Source-derived</t>
        </is>
      </c>
    </row>
    <row r="20">
      <c r="A20" s="15" t="inlineStr">
        <is>
          <t>BR-029</t>
        </is>
      </c>
      <c r="B20" s="15" t="inlineStr">
        <is>
          <t>Γ</t>
        </is>
      </c>
      <c r="C20" s="15" t="inlineStr">
        <is>
          <t>ḊL</t>
        </is>
      </c>
      <c r="D20" s="15" t="inlineStr">
        <is>
          <t>Universal spectral dynamics</t>
        </is>
      </c>
      <c r="E20" s="15" t="inlineStr">
        <is>
          <t>ḊL=F(L,Δ,τ,κ,Π)</t>
        </is>
      </c>
      <c r="F20" s="15" t="inlineStr">
        <is>
          <t>OPEN</t>
        </is>
      </c>
      <c r="G20" s="15" t="inlineStr">
        <is>
          <t>Homogeneous −2HL branch required</t>
        </is>
      </c>
      <c r="H20" s="15" t="inlineStr">
        <is>
          <t>C7</t>
        </is>
      </c>
      <c r="I20" s="15" t="inlineStr">
        <is>
          <t>Source-derived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tabColor rgb="002B7A78"/>
    <outlinePr summaryBelow="1" summaryRight="1"/>
    <pageSetUpPr/>
  </sheetPr>
  <dimension ref="A1:E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2" customWidth="1" min="2" max="2"/>
    <col width="46" customWidth="1" min="3" max="3"/>
    <col width="34" customWidth="1" min="4" max="4"/>
    <col width="58" customWidth="1" min="5" max="5"/>
  </cols>
  <sheetData>
    <row r="1" ht="32" customHeight="1">
      <c r="A1" s="13" t="inlineStr">
        <is>
          <t>VARIABLE REGISTRY</t>
        </is>
      </c>
    </row>
    <row r="2" ht="38" customHeight="1">
      <c r="A2" s="12" t="inlineStr">
        <is>
          <t>Selected equation-referenced variables recovered from the canonical registry.</t>
        </is>
      </c>
    </row>
    <row r="5">
      <c r="A5" s="14" t="inlineStr">
        <is>
          <t>Variable ID</t>
        </is>
      </c>
      <c r="B5" s="14" t="inlineStr">
        <is>
          <t>Symbol</t>
        </is>
      </c>
      <c r="C5" s="14" t="inlineStr">
        <is>
          <t>Role</t>
        </is>
      </c>
      <c r="D5" s="14" t="inlineStr">
        <is>
          <t>Status</t>
        </is>
      </c>
      <c r="E5" s="14" t="inlineStr">
        <is>
          <t>Origin equations</t>
        </is>
      </c>
    </row>
    <row r="6">
      <c r="A6" s="15" t="inlineStr">
        <is>
          <t>VAR-0133</t>
        </is>
      </c>
      <c r="B6" s="15" t="inlineStr">
        <is>
          <t>d</t>
        </is>
      </c>
      <c r="C6" s="15" t="inlineStr">
        <is>
          <t>distance / differential symbol</t>
        </is>
      </c>
      <c r="D6" s="15" t="inlineStr">
        <is>
          <t>EQUATION-REFERENCED</t>
        </is>
      </c>
      <c r="E6" s="15" t="inlineStr">
        <is>
          <t>SP.16;SP.17;SP.18;SP.20;SP.21;GE.1;GE.4;GE.10;PE.4;PE.5;PE.12;QM.1;OD.14;OD.15;MC.7;MC.8</t>
        </is>
      </c>
    </row>
    <row r="7">
      <c r="A7" s="15" t="inlineStr">
        <is>
          <t>VAR-0134</t>
        </is>
      </c>
      <c r="B7" s="15" t="inlineStr">
        <is>
          <t>δ</t>
        </is>
      </c>
      <c r="C7" s="15" t="inlineStr">
        <is>
          <t>variation / codifferential</t>
        </is>
      </c>
      <c r="D7" s="15" t="inlineStr">
        <is>
          <t>EQUATION-REFERENCED</t>
        </is>
      </c>
      <c r="E7" s="15" t="inlineStr">
        <is>
          <t>SP.17;SP.21;PE.3;PE.5;PE.12;QM.4;LH.1;MC.13;MC.15</t>
        </is>
      </c>
    </row>
    <row r="8">
      <c r="A8" s="15" t="inlineStr">
        <is>
          <t>VAR-0137</t>
        </is>
      </c>
      <c r="B8" s="15" t="inlineStr">
        <is>
          <t>μ_i</t>
        </is>
      </c>
      <c r="C8" s="15" t="inlineStr">
        <is>
          <t>Hodge spectrum eigenvalues</t>
        </is>
      </c>
      <c r="D8" s="15" t="inlineStr">
        <is>
          <t>EQUATION-REFERENCED</t>
        </is>
      </c>
      <c r="E8" s="15" t="inlineStr">
        <is>
          <t>SP.22</t>
        </is>
      </c>
    </row>
    <row r="9">
      <c r="A9" s="15" t="inlineStr">
        <is>
          <t>VAR-0138</t>
        </is>
      </c>
      <c r="B9" s="15" t="inlineStr">
        <is>
          <t>Δ_g</t>
        </is>
      </c>
      <c r="C9" s="15" t="inlineStr">
        <is>
          <t>Riemannian Laplacian</t>
        </is>
      </c>
      <c r="D9" s="15" t="inlineStr">
        <is>
          <t>EQUATION-REFERENCED</t>
        </is>
      </c>
      <c r="E9" s="15" t="inlineStr">
        <is>
          <t>SP.25;GE.9</t>
        </is>
      </c>
    </row>
    <row r="10">
      <c r="A10" s="15" t="inlineStr">
        <is>
          <t>VAR-0140</t>
        </is>
      </c>
      <c r="B10" s="15" t="inlineStr">
        <is>
          <t>g</t>
        </is>
      </c>
      <c r="C10" s="15" t="inlineStr">
        <is>
          <t>metric tensor</t>
        </is>
      </c>
      <c r="D10" s="15" t="inlineStr">
        <is>
          <t>EQUATION-REFERENCED</t>
        </is>
      </c>
      <c r="E10" s="15" t="inlineStr">
        <is>
          <t>SP.25;GE.14;PE.7;PE.9;PE.13;CV.1;CV.4;CV.11;CV.12;LH.7;MC.15</t>
        </is>
      </c>
    </row>
    <row r="11">
      <c r="A11" s="15" t="inlineStr">
        <is>
          <t>VAR-0146</t>
        </is>
      </c>
      <c r="B11" s="15" t="inlineStr">
        <is>
          <t>φ_k</t>
        </is>
      </c>
      <c r="C11" s="15" t="inlineStr">
        <is>
          <t>spectral eigenfunction</t>
        </is>
      </c>
      <c r="D11" s="15" t="inlineStr">
        <is>
          <t>EQUATION-REFERENCED</t>
        </is>
      </c>
      <c r="E11" s="15" t="inlineStr">
        <is>
          <t>GE.1;GE.2;MC.7;MC.8</t>
        </is>
      </c>
    </row>
    <row r="12">
      <c r="A12" s="15" t="inlineStr">
        <is>
          <t>VAR-0147</t>
        </is>
      </c>
      <c r="B12" s="15" t="inlineStr">
        <is>
          <t>λ_k</t>
        </is>
      </c>
      <c r="C12" s="15" t="inlineStr">
        <is>
          <t>Laplacian eigenvalue</t>
        </is>
      </c>
      <c r="D12" s="15" t="inlineStr">
        <is>
          <t>EQUATION-REFERENCED</t>
        </is>
      </c>
      <c r="E12" s="15" t="inlineStr">
        <is>
          <t>GE.1;GE.2;MC.7;MC.8</t>
        </is>
      </c>
    </row>
    <row r="13">
      <c r="A13" s="15" t="inlineStr">
        <is>
          <t>VAR-0149</t>
        </is>
      </c>
      <c r="B13" s="15" t="inlineStr">
        <is>
          <t>ab</t>
        </is>
      </c>
      <c r="C13" s="15" t="inlineStr">
        <is>
          <t>metric index pair</t>
        </is>
      </c>
      <c r="D13" s="15" t="inlineStr">
        <is>
          <t>EQUATION-REFERENCED</t>
        </is>
      </c>
      <c r="E13" s="15" t="inlineStr">
        <is>
          <t>GE.2;GE.4;PE.1;PE.7;PE.8;PE.9;CV.1;CV.3;CV.4;CV.5;CV.8;MC.8;MC.9;MC.10;MC.11;MC.14;MC.15</t>
        </is>
      </c>
    </row>
    <row r="14">
      <c r="A14" s="15" t="inlineStr">
        <is>
          <t>VAR-0152</t>
        </is>
      </c>
      <c r="B14" s="15" t="inlineStr">
        <is>
          <t>ds</t>
        </is>
      </c>
      <c r="C14" s="15" t="inlineStr">
        <is>
          <t>line element</t>
        </is>
      </c>
      <c r="D14" s="15" t="inlineStr">
        <is>
          <t>EQUATION-REFERENCED</t>
        </is>
      </c>
      <c r="E14" s="15" t="inlineStr">
        <is>
          <t>GE.3</t>
        </is>
      </c>
    </row>
    <row r="15">
      <c r="A15" s="15" t="inlineStr">
        <is>
          <t>VAR-0153</t>
        </is>
      </c>
      <c r="B15" s="15" t="inlineStr">
        <is>
          <t>μ</t>
        </is>
      </c>
      <c r="C15" s="15" t="inlineStr">
        <is>
          <t>metric/index context variable</t>
        </is>
      </c>
      <c r="D15" s="15" t="inlineStr">
        <is>
          <t>EQUATION-REFERENCED</t>
        </is>
      </c>
      <c r="E15" s="15" t="inlineStr">
        <is>
          <t>GE.3</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tabColor rgb="00C89B3C"/>
    <outlinePr summaryBelow="1" summaryRight="1"/>
    <pageSetUpPr/>
  </sheetPr>
  <dimension ref="A1:F10"/>
  <sheetViews>
    <sheetView showGridLines="0" zoomScale="85" workbookViewId="0">
      <pane ySplit="5" topLeftCell="A6" activePane="bottomLeft" state="frozen"/>
      <selection pane="bottomLeft" activeCell="A1" sqref="A1"/>
    </sheetView>
  </sheetViews>
  <sheetFormatPr baseColWidth="8" defaultRowHeight="15"/>
  <cols>
    <col width="24" customWidth="1" min="1" max="1"/>
    <col width="22" customWidth="1" min="2" max="2"/>
    <col width="22" customWidth="1" min="3" max="3"/>
    <col width="38" customWidth="1" min="4" max="4"/>
    <col width="28" customWidth="1" min="5" max="5"/>
    <col width="54" customWidth="1" min="6" max="6"/>
  </cols>
  <sheetData>
    <row r="1" ht="32" customHeight="1">
      <c r="A1" s="13" t="inlineStr">
        <is>
          <t>UNIVERSAL CONSTANT ATLAS / UCCP</t>
        </is>
      </c>
    </row>
    <row r="2" ht="38" customHeight="1">
      <c r="A2" s="12" t="inlineStr">
        <is>
          <t>Root/derived constant governance and typed compiler roles.</t>
        </is>
      </c>
    </row>
    <row r="5">
      <c r="A5" s="14" t="inlineStr">
        <is>
          <t>Node</t>
        </is>
      </c>
      <c r="B5" s="14" t="inlineStr">
        <is>
          <t>Compiler type</t>
        </is>
      </c>
      <c r="C5" s="14" t="inlineStr">
        <is>
          <t>Role</t>
        </is>
      </c>
      <c r="D5" s="14" t="inlineStr">
        <is>
          <t>Representation</t>
        </is>
      </c>
      <c r="E5" s="14" t="inlineStr">
        <is>
          <t>Status</t>
        </is>
      </c>
      <c r="F5" s="14" t="inlineStr">
        <is>
          <t>Governance</t>
        </is>
      </c>
    </row>
    <row r="6">
      <c r="A6" s="15" t="inlineStr">
        <is>
          <t>PHYS-001..016</t>
        </is>
      </c>
      <c r="B6" s="15" t="inlineStr">
        <is>
          <t>T/K/P/S</t>
        </is>
      </c>
      <c r="C6" s="15" t="inlineStr">
        <is>
          <t>physical constants</t>
        </is>
      </c>
      <c r="D6" s="15" t="inlineStr">
        <is>
          <t>six-tuple (σ,δ,τ_c,D,X,I)</t>
        </is>
      </c>
      <c r="E6" s="15" t="inlineStr">
        <is>
          <t>SOURCE-REGISTERED</t>
        </is>
      </c>
      <c r="F6" s="15" t="inlineStr">
        <is>
          <t>Root/derived distinction retained</t>
        </is>
      </c>
    </row>
    <row r="7">
      <c r="A7" s="15" t="inlineStr">
        <is>
          <t>COMP-001..008</t>
        </is>
      </c>
      <c r="B7" s="15" t="inlineStr">
        <is>
          <t>T/K/P/S</t>
        </is>
      </c>
      <c r="C7" s="15" t="inlineStr">
        <is>
          <t>compiler constants</t>
        </is>
      </c>
      <c r="D7" s="15" t="inlineStr">
        <is>
          <t>six-tuple</t>
        </is>
      </c>
      <c r="E7" s="15" t="inlineStr">
        <is>
          <t>SOURCE-REGISTERED</t>
        </is>
      </c>
      <c r="F7" s="15" t="inlineStr">
        <is>
          <t>Architecture-defined</t>
        </is>
      </c>
    </row>
    <row r="8">
      <c r="A8" s="15" t="inlineStr">
        <is>
          <t>SPEC-GEO-001..009</t>
        </is>
      </c>
      <c r="B8" s="15" t="inlineStr">
        <is>
          <t>P/S</t>
        </is>
      </c>
      <c r="C8" s="15" t="inlineStr">
        <is>
          <t>spectral/geometric</t>
        </is>
      </c>
      <c r="D8" s="15" t="inlineStr">
        <is>
          <t>six-tuple</t>
        </is>
      </c>
      <c r="E8" s="15" t="inlineStr">
        <is>
          <t>SOURCE-REGISTERED</t>
        </is>
      </c>
      <c r="F8" s="15" t="inlineStr">
        <is>
          <t>Derived candidates</t>
        </is>
      </c>
    </row>
    <row r="9">
      <c r="A9" s="15" t="inlineStr">
        <is>
          <t>PRIM-001..004</t>
        </is>
      </c>
      <c r="B9" s="15" t="inlineStr">
        <is>
          <t>outside UCCP</t>
        </is>
      </c>
      <c r="C9" s="15" t="inlineStr">
        <is>
          <t>Δ,τ,κ,Π</t>
        </is>
      </c>
      <c r="D9" s="15" t="inlineStr">
        <is>
          <t>primitive symbols</t>
        </is>
      </c>
      <c r="E9" s="15" t="inlineStr">
        <is>
          <t>CANONICAL</t>
        </is>
      </c>
      <c r="F9" s="15" t="inlineStr">
        <is>
          <t>Pre-numerical primitives</t>
        </is>
      </c>
    </row>
    <row r="10">
      <c r="A10" s="15" t="inlineStr">
        <is>
          <t>UCA-v2</t>
        </is>
      </c>
      <c r="B10" s="15" t="inlineStr">
        <is>
          <t>typed</t>
        </is>
      </c>
      <c r="C10" s="15" t="inlineStr">
        <is>
          <t>constant DAG node</t>
        </is>
      </c>
      <c r="D10" s="15" t="inlineStr">
        <is>
          <t>(σ,δ,τ_c,D,X,I;P,C,A)</t>
        </is>
      </c>
      <c r="E10" s="15" t="inlineStr">
        <is>
          <t>PARTIAL</t>
        </is>
      </c>
      <c r="F10" s="15" t="inlineStr">
        <is>
          <t>Type propagation theorem partially proven</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8.xml><?xml version="1.0" encoding="utf-8"?>
<worksheet xmlns="http://schemas.openxmlformats.org/spreadsheetml/2006/main">
  <sheetPr>
    <tabColor rgb="002F5D8C"/>
    <outlinePr summaryBelow="1" summaryRight="1"/>
    <pageSetUpPr/>
  </sheetPr>
  <dimension ref="A1:F1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34" customWidth="1" min="2" max="2"/>
    <col width="44" customWidth="1" min="3" max="3"/>
    <col width="24" customWidth="1" min="4" max="4"/>
    <col width="30" customWidth="1" min="5" max="5"/>
    <col width="42" customWidth="1" min="6" max="6"/>
  </cols>
  <sheetData>
    <row r="1" ht="32" customHeight="1">
      <c r="A1" s="13" t="inlineStr">
        <is>
          <t>UNIVERSAL QUANTITY REGISTRY</t>
        </is>
      </c>
    </row>
    <row r="2" ht="38" customHeight="1">
      <c r="A2" s="12" t="inlineStr">
        <is>
          <t>Quantity layer above constants; compiler-typed measurable objects.</t>
        </is>
      </c>
    </row>
    <row r="5">
      <c r="A5" s="14" t="inlineStr">
        <is>
          <t>Quantity class</t>
        </is>
      </c>
      <c r="B5" s="14" t="inlineStr">
        <is>
          <t>Compiler role</t>
        </is>
      </c>
      <c r="C5" s="14" t="inlineStr">
        <is>
          <t>Representation</t>
        </is>
      </c>
      <c r="D5" s="14" t="inlineStr">
        <is>
          <t>Status</t>
        </is>
      </c>
      <c r="E5" s="14" t="inlineStr">
        <is>
          <t>Examples</t>
        </is>
      </c>
      <c r="F5" s="14" t="inlineStr">
        <is>
          <t>Governance</t>
        </is>
      </c>
    </row>
    <row r="6">
      <c r="A6" s="15" t="inlineStr">
        <is>
          <t>Mass</t>
        </is>
      </c>
      <c r="B6" s="15" t="inlineStr">
        <is>
          <t>state quantity</t>
        </is>
      </c>
      <c r="C6" s="15" t="inlineStr">
        <is>
          <t>seven-tuple</t>
        </is>
      </c>
      <c r="D6" s="15" t="inlineStr">
        <is>
          <t>SOURCE-REGISTERED</t>
        </is>
      </c>
      <c r="E6" s="15" t="inlineStr">
        <is>
          <t>m,m_H,m_ν</t>
        </is>
      </c>
      <c r="F6" s="15" t="inlineStr">
        <is>
          <t>Quantity governed by constants</t>
        </is>
      </c>
    </row>
    <row r="7">
      <c r="A7" s="15" t="inlineStr">
        <is>
          <t>Energy</t>
        </is>
      </c>
      <c r="B7" s="15" t="inlineStr">
        <is>
          <t>state/transition quantity</t>
        </is>
      </c>
      <c r="C7" s="15" t="inlineStr">
        <is>
          <t>seven-tuple</t>
        </is>
      </c>
      <c r="D7" s="15" t="inlineStr">
        <is>
          <t>SOURCE-REGISTERED</t>
        </is>
      </c>
      <c r="E7" s="15" t="inlineStr">
        <is>
          <t>E,U,F,H</t>
        </is>
      </c>
      <c r="F7" s="15" t="inlineStr"/>
    </row>
    <row r="8">
      <c r="A8" s="15" t="inlineStr">
        <is>
          <t>Rate</t>
        </is>
      </c>
      <c r="B8" s="15" t="inlineStr">
        <is>
          <t>transformation quantity</t>
        </is>
      </c>
      <c r="C8" s="15" t="inlineStr">
        <is>
          <t>seven-tuple</t>
        </is>
      </c>
      <c r="D8" s="15" t="inlineStr">
        <is>
          <t>SOURCE-REGISTERED</t>
        </is>
      </c>
      <c r="E8" s="15" t="inlineStr">
        <is>
          <t>∂_tX,Γ</t>
        </is>
      </c>
      <c r="F8" s="15" t="inlineStr">
        <is>
          <t>Input vs decay rates</t>
        </is>
      </c>
    </row>
    <row r="9">
      <c r="A9" s="15" t="inlineStr">
        <is>
          <t>Information</t>
        </is>
      </c>
      <c r="B9" s="15" t="inlineStr">
        <is>
          <t>persistence/structural</t>
        </is>
      </c>
      <c r="C9" s="15" t="inlineStr">
        <is>
          <t>seven-tuple</t>
        </is>
      </c>
      <c r="D9" s="15" t="inlineStr">
        <is>
          <t>SOURCE-REGISTERED</t>
        </is>
      </c>
      <c r="E9" s="15" t="inlineStr">
        <is>
          <t>H,I_F,D_KL</t>
        </is>
      </c>
      <c r="F9" s="15" t="inlineStr"/>
    </row>
    <row r="10">
      <c r="A10" s="15" t="inlineStr">
        <is>
          <t>Geometry</t>
        </is>
      </c>
      <c r="B10" s="15" t="inlineStr">
        <is>
          <t>structural</t>
        </is>
      </c>
      <c r="C10" s="15" t="inlineStr">
        <is>
          <t>seven-tuple</t>
        </is>
      </c>
      <c r="D10" s="15" t="inlineStr">
        <is>
          <t>SOURCE-REGISTERED</t>
        </is>
      </c>
      <c r="E10" s="15" t="inlineStr">
        <is>
          <t>g,R,d</t>
        </is>
      </c>
      <c r="F10" s="15" t="inlineStr"/>
    </row>
    <row r="11">
      <c r="A11" s="15" t="inlineStr">
        <is>
          <t>Spectral</t>
        </is>
      </c>
      <c r="B11" s="15" t="inlineStr">
        <is>
          <t>structural/persistence</t>
        </is>
      </c>
      <c r="C11" s="15" t="inlineStr">
        <is>
          <t>seven-tuple</t>
        </is>
      </c>
      <c r="D11" s="15" t="inlineStr">
        <is>
          <t>SOURCE-REGISTERED</t>
        </is>
      </c>
      <c r="E11" s="15" t="inlineStr">
        <is>
          <t>λ,σ,Spec(L)</t>
        </is>
      </c>
      <c r="F11" s="15" t="inlineStr"/>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tabColor rgb="002B7A78"/>
    <outlinePr summaryBelow="1" summaryRight="1"/>
    <pageSetUpPr/>
  </sheetPr>
  <dimension ref="A1:G16"/>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4" customWidth="1" min="2" max="2"/>
    <col width="14" customWidth="1" min="3" max="3"/>
    <col width="24" customWidth="1" min="4" max="4"/>
    <col width="18" customWidth="1" min="5" max="5"/>
    <col width="18" customWidth="1" min="6" max="6"/>
    <col width="34" customWidth="1" min="7" max="7"/>
  </cols>
  <sheetData>
    <row r="1" ht="32" customHeight="1">
      <c r="A1" s="13" t="inlineStr">
        <is>
          <t>CALCULATION INPUTS</t>
        </is>
      </c>
    </row>
    <row r="2" ht="38" customHeight="1">
      <c r="A2" s="12" t="inlineStr">
        <is>
          <t>Established ARBS numerical checkpoints; these are calculation data, never upstream target selectors.</t>
        </is>
      </c>
    </row>
    <row r="5">
      <c r="A5" s="14" t="inlineStr">
        <is>
          <t>Input</t>
        </is>
      </c>
      <c r="B5" s="14" t="inlineStr">
        <is>
          <t>Object</t>
        </is>
      </c>
      <c r="C5" s="14" t="inlineStr">
        <is>
          <t>Shell</t>
        </is>
      </c>
      <c r="D5" s="14" t="inlineStr">
        <is>
          <t>Value</t>
        </is>
      </c>
      <c r="E5" s="14" t="inlineStr">
        <is>
          <t>Precision</t>
        </is>
      </c>
      <c r="F5" s="14" t="inlineStr">
        <is>
          <t>Status</t>
        </is>
      </c>
      <c r="G5" s="14" t="inlineStr">
        <is>
          <t>Notes</t>
        </is>
      </c>
    </row>
    <row r="6">
      <c r="A6" s="15" t="inlineStr">
        <is>
          <t>ARBS-STR-001</t>
        </is>
      </c>
      <c r="B6" s="15" t="inlineStr">
        <is>
          <t>(N,E)</t>
        </is>
      </c>
      <c r="C6" s="15" t="inlineStr">
        <is>
          <t>G0</t>
        </is>
      </c>
      <c r="D6" s="15" t="inlineStr">
        <is>
          <t>(2,1)</t>
        </is>
      </c>
      <c r="E6" s="15" t="inlineStr">
        <is>
          <t>exact</t>
        </is>
      </c>
      <c r="F6" s="15" t="inlineStr">
        <is>
          <t>RECONSTRUCTED</t>
        </is>
      </c>
      <c r="G6" s="15" t="inlineStr"/>
    </row>
    <row r="7">
      <c r="A7" s="15" t="inlineStr">
        <is>
          <t>ARBS-STR-002</t>
        </is>
      </c>
      <c r="B7" s="15" t="inlineStr">
        <is>
          <t>(N,E)</t>
        </is>
      </c>
      <c r="C7" s="15" t="inlineStr">
        <is>
          <t>G1</t>
        </is>
      </c>
      <c r="D7" s="15" t="inlineStr">
        <is>
          <t>(6,7)</t>
        </is>
      </c>
      <c r="E7" s="15" t="inlineStr">
        <is>
          <t>exact</t>
        </is>
      </c>
      <c r="F7" s="15" t="inlineStr">
        <is>
          <t>RECONSTRUCTED</t>
        </is>
      </c>
      <c r="G7" s="15" t="inlineStr"/>
    </row>
    <row r="8">
      <c r="A8" s="15" t="inlineStr">
        <is>
          <t>ARBS-STR-003</t>
        </is>
      </c>
      <c r="B8" s="15" t="inlineStr">
        <is>
          <t>(N,E)</t>
        </is>
      </c>
      <c r="C8" s="15" t="inlineStr">
        <is>
          <t>G2</t>
        </is>
      </c>
      <c r="D8" s="15" t="inlineStr">
        <is>
          <t>(14,31)</t>
        </is>
      </c>
      <c r="E8" s="15" t="inlineStr">
        <is>
          <t>exact</t>
        </is>
      </c>
      <c r="F8" s="15" t="inlineStr">
        <is>
          <t>RECONSTRUCTED</t>
        </is>
      </c>
      <c r="G8" s="15" t="inlineStr"/>
    </row>
    <row r="9">
      <c r="A9" s="15" t="inlineStr">
        <is>
          <t>ARBS-STR-004</t>
        </is>
      </c>
      <c r="B9" s="15" t="inlineStr">
        <is>
          <t>(N,E)</t>
        </is>
      </c>
      <c r="C9" s="15" t="inlineStr">
        <is>
          <t>G3</t>
        </is>
      </c>
      <c r="D9" s="15" t="inlineStr">
        <is>
          <t>(30,127)</t>
        </is>
      </c>
      <c r="E9" s="15" t="inlineStr">
        <is>
          <t>exact</t>
        </is>
      </c>
      <c r="F9" s="15" t="inlineStr">
        <is>
          <t>RECONSTRUCTED</t>
        </is>
      </c>
      <c r="G9" s="15" t="inlineStr"/>
    </row>
    <row r="10">
      <c r="A10" s="15" t="inlineStr">
        <is>
          <t>ARBS-STR-005</t>
        </is>
      </c>
      <c r="B10" s="15" t="inlineStr">
        <is>
          <t>(N,E)</t>
        </is>
      </c>
      <c r="C10" s="15" t="inlineStr">
        <is>
          <t>G4</t>
        </is>
      </c>
      <c r="D10" s="15" t="inlineStr">
        <is>
          <t>(62,511)</t>
        </is>
      </c>
      <c r="E10" s="15" t="inlineStr">
        <is>
          <t>exact</t>
        </is>
      </c>
      <c r="F10" s="15" t="inlineStr">
        <is>
          <t>RECONSTRUCTED</t>
        </is>
      </c>
      <c r="G10" s="15" t="inlineStr"/>
    </row>
    <row r="11">
      <c r="A11" s="15" t="inlineStr">
        <is>
          <t>ARBS-SP-003</t>
        </is>
      </c>
      <c r="B11" s="15" t="inlineStr">
        <is>
          <t>σ16</t>
        </is>
      </c>
      <c r="C11" s="15" t="inlineStr">
        <is>
          <t>G3</t>
        </is>
      </c>
      <c r="D11" s="15" t="inlineStr">
        <is>
          <t>2.828427124746192</t>
        </is>
      </c>
      <c r="E11" s="15" t="inlineStr">
        <is>
          <t>15 d.p.</t>
        </is>
      </c>
      <c r="F11" s="15" t="inlineStr">
        <is>
          <t>CALCULATED</t>
        </is>
      </c>
      <c r="G11" s="15" t="inlineStr">
        <is>
          <t>32-state boundary lower</t>
        </is>
      </c>
    </row>
    <row r="12">
      <c r="A12" s="15" t="inlineStr">
        <is>
          <t>ARBS-SP-004</t>
        </is>
      </c>
      <c r="B12" s="15" t="inlineStr">
        <is>
          <t>σ17</t>
        </is>
      </c>
      <c r="C12" s="15" t="inlineStr">
        <is>
          <t>G3</t>
        </is>
      </c>
      <c r="D12" s="15" t="inlineStr">
        <is>
          <t>2.849152618684595</t>
        </is>
      </c>
      <c r="E12" s="15" t="inlineStr">
        <is>
          <t>15 d.p.</t>
        </is>
      </c>
      <c r="F12" s="15" t="inlineStr">
        <is>
          <t>CALCULATED</t>
        </is>
      </c>
      <c r="G12" s="15" t="inlineStr">
        <is>
          <t>32-state boundary upper</t>
        </is>
      </c>
    </row>
    <row r="13">
      <c r="A13" s="15" t="inlineStr">
        <is>
          <t>ARBS-SP-005</t>
        </is>
      </c>
      <c r="B13" s="15" t="inlineStr">
        <is>
          <t>Δσ</t>
        </is>
      </c>
      <c r="C13" s="15" t="inlineStr">
        <is>
          <t>G3</t>
        </is>
      </c>
      <c r="D13" s="15" t="inlineStr">
        <is>
          <t>0.020725493938403</t>
        </is>
      </c>
      <c r="E13" s="15" t="inlineStr">
        <is>
          <t>15 d.p.</t>
        </is>
      </c>
      <c r="F13" s="15" t="inlineStr">
        <is>
          <t>CALCULATED</t>
        </is>
      </c>
      <c r="G13" s="15" t="inlineStr">
        <is>
          <t>isolated boundary</t>
        </is>
      </c>
    </row>
    <row r="14">
      <c r="A14" s="15" t="inlineStr">
        <is>
          <t>ARBS-SP-006</t>
        </is>
      </c>
      <c r="B14" s="15" t="inlineStr">
        <is>
          <t>σ16=σ17</t>
        </is>
      </c>
      <c r="C14" s="15" t="inlineStr">
        <is>
          <t>G4</t>
        </is>
      </c>
      <c r="D14" s="15" t="inlineStr">
        <is>
          <t>3.464101615137755</t>
        </is>
      </c>
      <c r="E14" s="15" t="inlineStr">
        <is>
          <t>15 d.p.</t>
        </is>
      </c>
      <c r="F14" s="15" t="inlineStr">
        <is>
          <t>CALCULATED</t>
        </is>
      </c>
      <c r="G14" s="15" t="inlineStr">
        <is>
          <t>degenerate boundary</t>
        </is>
      </c>
    </row>
    <row r="15">
      <c r="A15" s="15" t="inlineStr">
        <is>
          <t>ARBS-TH-001..005</t>
        </is>
      </c>
      <c r="B15" s="15" t="inlineStr">
        <is>
          <t>t_H</t>
        </is>
      </c>
      <c r="C15" s="15" t="inlineStr">
        <is>
          <t>G0..G4</t>
        </is>
      </c>
      <c r="D15" s="15" t="inlineStr">
        <is>
          <t>0.173286795140; 0.137578446530; 0.079911417241; 0.043225367441; 0.022564403969</t>
        </is>
      </c>
      <c r="E15" s="15" t="inlineStr">
        <is>
          <t>12 d.p.</t>
        </is>
      </c>
      <c r="F15" s="15" t="inlineStr">
        <is>
          <t>CALCULATED</t>
        </is>
      </c>
      <c r="G15" s="15" t="inlineStr">
        <is>
          <t>p_A(t_H)=1/2</t>
        </is>
      </c>
    </row>
    <row r="16">
      <c r="A16" s="15" t="inlineStr">
        <is>
          <t>ARBS-LC-001..005</t>
        </is>
      </c>
      <c r="B16" s="15" t="inlineStr">
        <is>
          <t>λ_c=1/t_H</t>
        </is>
      </c>
      <c r="C16" s="15" t="inlineStr">
        <is>
          <t>G0..G4</t>
        </is>
      </c>
      <c r="D16" s="15" t="inlineStr">
        <is>
          <t>5.770780164; 7.268580401; 12.513856399; 23.134563318; 44.317589837</t>
        </is>
      </c>
      <c r="E16" s="15" t="inlineStr">
        <is>
          <t>12 d.p.</t>
        </is>
      </c>
      <c r="F16" s="15" t="inlineStr">
        <is>
          <t>CALCULATED</t>
        </is>
      </c>
      <c r="G16" s="15" t="inlineStr">
        <is>
          <t>canonical mapping</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tabColor rgb="0017233C"/>
    <outlinePr summaryBelow="1" summaryRight="1"/>
    <pageSetUpPr/>
  </sheetPr>
  <dimension ref="A1:G25"/>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34" customWidth="1" min="2" max="2"/>
    <col width="58" customWidth="1" min="3" max="3"/>
    <col width="42" customWidth="1" min="4" max="4"/>
    <col width="28" customWidth="1" min="5" max="5"/>
    <col width="24" customWidth="1" min="6" max="6"/>
    <col width="48" customWidth="1" min="7" max="7"/>
  </cols>
  <sheetData>
    <row r="1" ht="32" customHeight="1">
      <c r="A1" s="13" t="inlineStr">
        <is>
          <t>CALCULATION ENGINE</t>
        </is>
      </c>
    </row>
    <row r="2" ht="38" customHeight="1">
      <c r="A2" s="12" t="inlineStr">
        <is>
          <t>Executable formulas for the active mathematical core.</t>
        </is>
      </c>
    </row>
    <row r="5">
      <c r="A5" s="14" t="inlineStr">
        <is>
          <t>Engine ID</t>
        </is>
      </c>
      <c r="B5" s="14" t="inlineStr">
        <is>
          <t>Calculation</t>
        </is>
      </c>
      <c r="C5" s="14" t="inlineStr">
        <is>
          <t>Formula</t>
        </is>
      </c>
      <c r="D5" s="14" t="inlineStr">
        <is>
          <t>Inputs</t>
        </is>
      </c>
      <c r="E5" s="14" t="inlineStr">
        <is>
          <t>Output</t>
        </is>
      </c>
      <c r="F5" s="14" t="inlineStr">
        <is>
          <t>Status</t>
        </is>
      </c>
      <c r="G5" s="14" t="inlineStr">
        <is>
          <t>Audit rule</t>
        </is>
      </c>
    </row>
    <row r="6">
      <c r="A6" s="15" t="inlineStr">
        <is>
          <t>ENG-001</t>
        </is>
      </c>
      <c r="B6" s="15" t="inlineStr">
        <is>
          <t>Laplacian</t>
        </is>
      </c>
      <c r="C6" s="15" t="inlineStr">
        <is>
          <t>L=D−A</t>
        </is>
      </c>
      <c r="D6" s="15" t="inlineStr">
        <is>
          <t>G</t>
        </is>
      </c>
      <c r="E6" s="15" t="inlineStr">
        <is>
          <t>L</t>
        </is>
      </c>
      <c r="F6" s="15" t="inlineStr">
        <is>
          <t>EXECUTABLE</t>
        </is>
      </c>
      <c r="G6" s="15" t="inlineStr">
        <is>
          <t>No downstream targets</t>
        </is>
      </c>
    </row>
    <row r="7">
      <c r="A7" s="15" t="inlineStr">
        <is>
          <t>ENG-002</t>
        </is>
      </c>
      <c r="B7" s="15" t="inlineStr">
        <is>
          <t>Incidence</t>
        </is>
      </c>
      <c r="C7" s="15" t="inlineStr">
        <is>
          <t>L=BBᵀ</t>
        </is>
      </c>
      <c r="D7" s="15" t="inlineStr">
        <is>
          <t>B</t>
        </is>
      </c>
      <c r="E7" s="15" t="inlineStr">
        <is>
          <t>L</t>
        </is>
      </c>
      <c r="F7" s="15" t="inlineStr">
        <is>
          <t>EXECUTABLE</t>
        </is>
      </c>
      <c r="G7" s="15" t="inlineStr">
        <is>
          <t>Cross-check D−A</t>
        </is>
      </c>
    </row>
    <row r="8">
      <c r="A8" s="15" t="inlineStr">
        <is>
          <t>ENG-003</t>
        </is>
      </c>
      <c r="B8" s="15" t="inlineStr">
        <is>
          <t>Dirac lift</t>
        </is>
      </c>
      <c r="C8" s="15" t="inlineStr">
        <is>
          <t>D_G=[[0,B],[Bᵀ,0]]</t>
        </is>
      </c>
      <c r="D8" s="15" t="inlineStr">
        <is>
          <t>B</t>
        </is>
      </c>
      <c r="E8" s="15" t="inlineStr">
        <is>
          <t>D_G</t>
        </is>
      </c>
      <c r="F8" s="15" t="inlineStr">
        <is>
          <t>EXECUTABLE</t>
        </is>
      </c>
      <c r="G8" s="15" t="inlineStr">
        <is>
          <t>±σ pairing</t>
        </is>
      </c>
    </row>
    <row r="9">
      <c r="A9" s="15" t="inlineStr">
        <is>
          <t>ENG-004</t>
        </is>
      </c>
      <c r="B9" s="15" t="inlineStr">
        <is>
          <t>Dirac square</t>
        </is>
      </c>
      <c r="C9" s="15" t="inlineStr">
        <is>
          <t>D_G²=diag(BBᵀ,BᵀB)</t>
        </is>
      </c>
      <c r="D9" s="15" t="inlineStr">
        <is>
          <t>D_G</t>
        </is>
      </c>
      <c r="E9" s="15" t="inlineStr">
        <is>
          <t>D_G²</t>
        </is>
      </c>
      <c r="F9" s="15" t="inlineStr">
        <is>
          <t>EXECUTABLE</t>
        </is>
      </c>
      <c r="G9" s="15" t="inlineStr">
        <is>
          <t>Spectral cross-check</t>
        </is>
      </c>
    </row>
    <row r="10">
      <c r="A10" s="15" t="inlineStr">
        <is>
          <t>ENG-005</t>
        </is>
      </c>
      <c r="B10" s="15" t="inlineStr">
        <is>
          <t>Spectrum</t>
        </is>
      </c>
      <c r="C10" s="15" t="inlineStr">
        <is>
          <t>Lφ_i=λ_iφ_i</t>
        </is>
      </c>
      <c r="D10" s="15" t="inlineStr">
        <is>
          <t>L</t>
        </is>
      </c>
      <c r="E10" s="15" t="inlineStr">
        <is>
          <t>λ_i,φ_i</t>
        </is>
      </c>
      <c r="F10" s="15" t="inlineStr">
        <is>
          <t>EXECUTABLE</t>
        </is>
      </c>
      <c r="G10" s="15" t="inlineStr">
        <is>
          <t>Ordering/degeneracy</t>
        </is>
      </c>
    </row>
    <row r="11">
      <c r="A11" s="15" t="inlineStr">
        <is>
          <t>ENG-006</t>
        </is>
      </c>
      <c r="B11" s="15" t="inlineStr">
        <is>
          <t>Persistence</t>
        </is>
      </c>
      <c r="C11" s="15" t="inlineStr">
        <is>
          <t>p_A(t)=Tr(P_+e^{-2tL})/rank(P_+)</t>
        </is>
      </c>
      <c r="D11" s="15" t="inlineStr">
        <is>
          <t>L,P_+</t>
        </is>
      </c>
      <c r="E11" s="15" t="inlineStr">
        <is>
          <t>p_A</t>
        </is>
      </c>
      <c r="F11" s="15" t="inlineStr">
        <is>
          <t>EXECUTABLE</t>
        </is>
      </c>
      <c r="G11" s="15" t="inlineStr">
        <is>
          <t>p_A(t_H)=1/2</t>
        </is>
      </c>
    </row>
    <row r="12">
      <c r="A12" s="15" t="inlineStr">
        <is>
          <t>ENG-007</t>
        </is>
      </c>
      <c r="B12" s="15" t="inlineStr">
        <is>
          <t>Horizon time</t>
        </is>
      </c>
      <c r="C12" s="15" t="inlineStr">
        <is>
          <t>p_A(t_H)=1/2</t>
        </is>
      </c>
      <c r="D12" s="15" t="inlineStr">
        <is>
          <t>positive spectrum</t>
        </is>
      </c>
      <c r="E12" s="15" t="inlineStr">
        <is>
          <t>t_H</t>
        </is>
      </c>
      <c r="F12" s="15" t="inlineStr">
        <is>
          <t>EXECUTABLE</t>
        </is>
      </c>
      <c r="G12" s="15" t="inlineStr">
        <is>
          <t>Target-independent</t>
        </is>
      </c>
    </row>
    <row r="13">
      <c r="A13" s="15" t="inlineStr">
        <is>
          <t>ENG-008</t>
        </is>
      </c>
      <c r="B13" s="15" t="inlineStr">
        <is>
          <t>Threshold</t>
        </is>
      </c>
      <c r="C13" s="15" t="inlineStr">
        <is>
          <t>λ_c=1/t_H</t>
        </is>
      </c>
      <c r="D13" s="15" t="inlineStr">
        <is>
          <t>t_H</t>
        </is>
      </c>
      <c r="E13" s="15" t="inlineStr">
        <is>
          <t>λ_c</t>
        </is>
      </c>
      <c r="F13" s="15" t="inlineStr">
        <is>
          <t>EXECUTABLE</t>
        </is>
      </c>
      <c r="G13" s="15" t="inlineStr">
        <is>
          <t>Canonical mapping</t>
        </is>
      </c>
    </row>
    <row r="14">
      <c r="A14" s="15" t="inlineStr">
        <is>
          <t>ENG-009</t>
        </is>
      </c>
      <c r="B14" s="15" t="inlineStr">
        <is>
          <t>Horizon projector</t>
        </is>
      </c>
      <c r="C14" s="15" t="inlineStr">
        <is>
          <t>P_H=1_[λ_c,∞)(L)</t>
        </is>
      </c>
      <c r="D14" s="15" t="inlineStr">
        <is>
          <t>L,λ_c</t>
        </is>
      </c>
      <c r="E14" s="15" t="inlineStr">
        <is>
          <t>P_H</t>
        </is>
      </c>
      <c r="F14" s="15" t="inlineStr">
        <is>
          <t>EXECUTABLE</t>
        </is>
      </c>
      <c r="G14" s="15" t="inlineStr">
        <is>
          <t>Do not conflate P_Π</t>
        </is>
      </c>
    </row>
    <row r="15">
      <c r="A15" s="15" t="inlineStr">
        <is>
          <t>ENG-010</t>
        </is>
      </c>
      <c r="B15" s="15" t="inlineStr">
        <is>
          <t>Persistence projector</t>
        </is>
      </c>
      <c r="C15" s="15" t="inlineStr">
        <is>
          <t>P_Π=1_[0,λ_c)(L)</t>
        </is>
      </c>
      <c r="D15" s="15" t="inlineStr">
        <is>
          <t>L,λ_c</t>
        </is>
      </c>
      <c r="E15" s="15" t="inlineStr">
        <is>
          <t>P_Π</t>
        </is>
      </c>
      <c r="F15" s="15" t="inlineStr">
        <is>
          <t>EXECUTABLE</t>
        </is>
      </c>
      <c r="G15" s="15" t="inlineStr"/>
    </row>
    <row r="16">
      <c r="A16" s="15" t="inlineStr">
        <is>
          <t>ENG-011</t>
        </is>
      </c>
      <c r="B16" s="15" t="inlineStr">
        <is>
          <t>Distance</t>
        </is>
      </c>
      <c r="C16" s="15" t="inlineStr">
        <is>
          <t>d(i,j)=√Σ_k((φ_k(i)−φ_k(j))²/λ_k)</t>
        </is>
      </c>
      <c r="D16" s="15" t="inlineStr">
        <is>
          <t>λ,φ</t>
        </is>
      </c>
      <c r="E16" s="15" t="inlineStr">
        <is>
          <t>d</t>
        </is>
      </c>
      <c r="F16" s="15" t="inlineStr">
        <is>
          <t>EXECUTABLE</t>
        </is>
      </c>
      <c r="G16" s="15" t="inlineStr">
        <is>
          <t>Exclude zero mode</t>
        </is>
      </c>
    </row>
    <row r="17">
      <c r="A17" s="15" t="inlineStr">
        <is>
          <t>ENG-012</t>
        </is>
      </c>
      <c r="B17" s="15" t="inlineStr">
        <is>
          <t>Metric</t>
        </is>
      </c>
      <c r="C17" s="15" t="inlineStr">
        <is>
          <t>g_ab=Σ_kλ_k⁻¹∂_aφ_k∂_bφ_k</t>
        </is>
      </c>
      <c r="D17" s="15" t="inlineStr">
        <is>
          <t>λ,φ</t>
        </is>
      </c>
      <c r="E17" s="15" t="inlineStr">
        <is>
          <t>g</t>
        </is>
      </c>
      <c r="F17" s="15" t="inlineStr">
        <is>
          <t>EXECUTABLE</t>
        </is>
      </c>
      <c r="G17" s="15" t="inlineStr"/>
    </row>
    <row r="18">
      <c r="A18" s="15" t="inlineStr">
        <is>
          <t>ENG-013</t>
        </is>
      </c>
      <c r="B18" s="15" t="inlineStr">
        <is>
          <t>Connection</t>
        </is>
      </c>
      <c r="C18" s="15" t="inlineStr">
        <is>
          <t>Γ^ρ_{μν}=1/2g^{ρσ}(∂_μg_{σν}+∂_νg_{μσ}−∂_σg_{μν})</t>
        </is>
      </c>
      <c r="D18" s="15" t="inlineStr">
        <is>
          <t>g</t>
        </is>
      </c>
      <c r="E18" s="15" t="inlineStr">
        <is>
          <t>Γ</t>
        </is>
      </c>
      <c r="F18" s="15" t="inlineStr">
        <is>
          <t>EXECUTABLE</t>
        </is>
      </c>
      <c r="G18" s="15" t="inlineStr">
        <is>
          <t>Levi-Civita</t>
        </is>
      </c>
    </row>
    <row r="19">
      <c r="A19" s="15" t="inlineStr">
        <is>
          <t>ENG-014</t>
        </is>
      </c>
      <c r="B19" s="15" t="inlineStr">
        <is>
          <t>Curvature</t>
        </is>
      </c>
      <c r="C19" s="15" t="inlineStr">
        <is>
          <t>R^ρ_{σμν}=∂_μΓ^ρ_{νσ}−∂_νΓ^ρ_{μσ}+Γ^ρ_{μλ}Γ^λ_{νσ}−Γ^ρ_{νλ}Γ^λ_{μσ}</t>
        </is>
      </c>
      <c r="D19" s="15" t="inlineStr">
        <is>
          <t>Γ</t>
        </is>
      </c>
      <c r="E19" s="15" t="inlineStr">
        <is>
          <t>Riemann</t>
        </is>
      </c>
      <c r="F19" s="15" t="inlineStr">
        <is>
          <t>EXECUTABLE</t>
        </is>
      </c>
      <c r="G19" s="15" t="inlineStr">
        <is>
          <t>Convention registry</t>
        </is>
      </c>
    </row>
    <row r="20">
      <c r="A20" s="15" t="inlineStr">
        <is>
          <t>ENG-015</t>
        </is>
      </c>
      <c r="B20" s="15" t="inlineStr">
        <is>
          <t>Einstein</t>
        </is>
      </c>
      <c r="C20" s="15" t="inlineStr">
        <is>
          <t>G_{μν}=R_{μν}−1/2Rg_{μν}</t>
        </is>
      </c>
      <c r="D20" s="15" t="inlineStr">
        <is>
          <t>R,g</t>
        </is>
      </c>
      <c r="E20" s="15" t="inlineStr">
        <is>
          <t>G</t>
        </is>
      </c>
      <c r="F20" s="15" t="inlineStr">
        <is>
          <t>EXECUTABLE</t>
        </is>
      </c>
      <c r="G20" s="15" t="inlineStr">
        <is>
          <t>Bianchi</t>
        </is>
      </c>
    </row>
    <row r="21">
      <c r="A21" s="15" t="inlineStr">
        <is>
          <t>ENG-016</t>
        </is>
      </c>
      <c r="B21" s="15" t="inlineStr">
        <is>
          <t>Fisher</t>
        </is>
      </c>
      <c r="C21" s="15" t="inlineStr">
        <is>
          <t>I_{ij}=E[∂_i ln p∂_j ln p]</t>
        </is>
      </c>
      <c r="D21" s="15" t="inlineStr">
        <is>
          <t>p</t>
        </is>
      </c>
      <c r="E21" s="15" t="inlineStr">
        <is>
          <t>I_F</t>
        </is>
      </c>
      <c r="F21" s="15" t="inlineStr">
        <is>
          <t>EXECUTABLE</t>
        </is>
      </c>
      <c r="G21" s="15" t="inlineStr">
        <is>
          <t>Positive semidefinite</t>
        </is>
      </c>
    </row>
    <row r="22">
      <c r="A22" s="15" t="inlineStr">
        <is>
          <t>ENG-017</t>
        </is>
      </c>
      <c r="B22" s="15" t="inlineStr">
        <is>
          <t>Fisher metric</t>
        </is>
      </c>
      <c r="C22" s="15" t="inlineStr">
        <is>
          <t>g^F_{ij}=I_{ij}</t>
        </is>
      </c>
      <c r="D22" s="15" t="inlineStr">
        <is>
          <t>I_F</t>
        </is>
      </c>
      <c r="E22" s="15" t="inlineStr">
        <is>
          <t>g^F</t>
        </is>
      </c>
      <c r="F22" s="15" t="inlineStr">
        <is>
          <t>EXECUTABLE</t>
        </is>
      </c>
      <c r="G22" s="15" t="inlineStr"/>
    </row>
    <row r="23">
      <c r="A23" s="15" t="inlineStr">
        <is>
          <t>ENG-018</t>
        </is>
      </c>
      <c r="B23" s="15" t="inlineStr">
        <is>
          <t>KL</t>
        </is>
      </c>
      <c r="C23" s="15" t="inlineStr">
        <is>
          <t>D_KL(P||Q)=ΣP ln(P/Q)</t>
        </is>
      </c>
      <c r="D23" s="15" t="inlineStr">
        <is>
          <t>P,Q</t>
        </is>
      </c>
      <c r="E23" s="15" t="inlineStr">
        <is>
          <t>D_KL</t>
        </is>
      </c>
      <c r="F23" s="15" t="inlineStr">
        <is>
          <t>EXECUTABLE</t>
        </is>
      </c>
      <c r="G23" s="15" t="inlineStr">
        <is>
          <t>Nonnegative</t>
        </is>
      </c>
    </row>
    <row r="24">
      <c r="A24" s="15" t="inlineStr">
        <is>
          <t>ENG-019</t>
        </is>
      </c>
      <c r="B24" s="15" t="inlineStr">
        <is>
          <t>Partition</t>
        </is>
      </c>
      <c r="C24" s="15" t="inlineStr">
        <is>
          <t>Z=Tr(e^{-βL})</t>
        </is>
      </c>
      <c r="D24" s="15" t="inlineStr">
        <is>
          <t>L,β</t>
        </is>
      </c>
      <c r="E24" s="15" t="inlineStr">
        <is>
          <t>Z</t>
        </is>
      </c>
      <c r="F24" s="15" t="inlineStr">
        <is>
          <t>EXECUTABLE</t>
        </is>
      </c>
      <c r="G24" s="15" t="inlineStr">
        <is>
          <t>Finite/trace-class</t>
        </is>
      </c>
    </row>
    <row r="25">
      <c r="A25" s="15" t="inlineStr">
        <is>
          <t>ENG-020</t>
        </is>
      </c>
      <c r="B25" s="15" t="inlineStr">
        <is>
          <t>Free energy</t>
        </is>
      </c>
      <c r="C25" s="15" t="inlineStr">
        <is>
          <t>F=−k_BTlnZ</t>
        </is>
      </c>
      <c r="D25" s="15" t="inlineStr">
        <is>
          <t>Z,T</t>
        </is>
      </c>
      <c r="E25" s="15" t="inlineStr">
        <is>
          <t>F</t>
        </is>
      </c>
      <c r="F25" s="15" t="inlineStr">
        <is>
          <t>EXECUTABLE</t>
        </is>
      </c>
      <c r="G25"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1.xml><?xml version="1.0" encoding="utf-8"?>
<worksheet xmlns="http://schemas.openxmlformats.org/spreadsheetml/2006/main">
  <sheetPr>
    <tabColor rgb="009B2C2C"/>
    <outlinePr summaryBelow="1" summaryRight="1"/>
    <pageSetUpPr/>
  </sheetPr>
  <dimension ref="A1:F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42" customWidth="1" min="2" max="2"/>
    <col width="20" customWidth="1" min="3" max="3"/>
    <col width="44" customWidth="1" min="4" max="4"/>
    <col width="40" customWidth="1" min="5" max="5"/>
    <col width="48" customWidth="1" min="6" max="6"/>
  </cols>
  <sheetData>
    <row r="1" ht="32" customHeight="1">
      <c r="A1" s="13" t="inlineStr">
        <is>
          <t>STATUS / ADMISSIBILITY AUDIT</t>
        </is>
      </c>
    </row>
    <row r="2" ht="38" customHeight="1">
      <c r="A2" s="12" t="inlineStr">
        <is>
          <t>Active-state admission rules prevent leakage from historical, rejected, unresolved, or target-conditioned work.</t>
        </is>
      </c>
    </row>
    <row r="5">
      <c r="A5" s="14" t="inlineStr">
        <is>
          <t>Status</t>
        </is>
      </c>
      <c r="B5" s="14" t="inlineStr">
        <is>
          <t>Meaning</t>
        </is>
      </c>
      <c r="C5" s="14" t="inlineStr">
        <is>
          <t>Active?</t>
        </is>
      </c>
      <c r="D5" s="14" t="inlineStr">
        <is>
          <t>Admission rule</t>
        </is>
      </c>
      <c r="E5" s="14" t="inlineStr">
        <is>
          <t>Example</t>
        </is>
      </c>
      <c r="F5" s="14" t="inlineStr">
        <is>
          <t>Action</t>
        </is>
      </c>
    </row>
    <row r="6">
      <c r="A6" s="15" t="inlineStr">
        <is>
          <t>DERIVED</t>
        </is>
      </c>
      <c r="B6" s="15" t="inlineStr">
        <is>
          <t>Closed symbolic derivation</t>
        </is>
      </c>
      <c r="C6" s="15" t="inlineStr">
        <is>
          <t>YES</t>
        </is>
      </c>
      <c r="D6" s="15" t="inlineStr">
        <is>
          <t>Upstream dependencies certified</t>
        </is>
      </c>
      <c r="E6" s="15" t="inlineStr">
        <is>
          <t>Γ, L, geometry</t>
        </is>
      </c>
      <c r="F6" s="15" t="inlineStr">
        <is>
          <t>Admit</t>
        </is>
      </c>
    </row>
    <row r="7">
      <c r="A7" s="15" t="inlineStr">
        <is>
          <t>CALCULATED</t>
        </is>
      </c>
      <c r="B7" s="15" t="inlineStr">
        <is>
          <t>Reproducible numerical result</t>
        </is>
      </c>
      <c r="C7" s="15" t="inlineStr">
        <is>
          <t>YES</t>
        </is>
      </c>
      <c r="D7" s="15" t="inlineStr">
        <is>
          <t>Inputs and precision recorded</t>
        </is>
      </c>
      <c r="E7" s="15" t="inlineStr">
        <is>
          <t>ARBS spectrum</t>
        </is>
      </c>
      <c r="F7" s="15" t="inlineStr">
        <is>
          <t>Admit</t>
        </is>
      </c>
    </row>
    <row r="8">
      <c r="A8" s="15" t="inlineStr">
        <is>
          <t>VERIFIED</t>
        </is>
      </c>
      <c r="B8" s="15" t="inlineStr">
        <is>
          <t>Independently checked</t>
        </is>
      </c>
      <c r="C8" s="15" t="inlineStr">
        <is>
          <t>YES</t>
        </is>
      </c>
      <c r="D8" s="15" t="inlineStr">
        <is>
          <t>Verification record</t>
        </is>
      </c>
      <c r="E8" s="15" t="inlineStr">
        <is>
          <t>TRC entries</t>
        </is>
      </c>
      <c r="F8" s="15" t="inlineStr">
        <is>
          <t>Admit</t>
        </is>
      </c>
    </row>
    <row r="9">
      <c r="A9" s="15" t="inlineStr">
        <is>
          <t>CONDITIONAL</t>
        </is>
      </c>
      <c r="B9" s="15" t="inlineStr">
        <is>
          <t>Assumption-dependent</t>
        </is>
      </c>
      <c r="C9" s="15" t="inlineStr">
        <is>
          <t>FLAGGED</t>
        </is>
      </c>
      <c r="D9" s="15" t="inlineStr">
        <is>
          <t>Assumptions attached</t>
        </is>
      </c>
      <c r="E9" s="15" t="inlineStr">
        <is>
          <t>Matter-coupled GR</t>
        </is>
      </c>
      <c r="F9" s="15" t="inlineStr">
        <is>
          <t>Do not promote silently</t>
        </is>
      </c>
    </row>
    <row r="10">
      <c r="A10" s="15" t="inlineStr">
        <is>
          <t>PROPOSED</t>
        </is>
      </c>
      <c r="B10" s="15" t="inlineStr">
        <is>
          <t>Candidate</t>
        </is>
      </c>
      <c r="C10" s="15" t="inlineStr">
        <is>
          <t>NO</t>
        </is>
      </c>
      <c r="D10" s="15" t="inlineStr">
        <is>
          <t>Proof obligation required</t>
        </is>
      </c>
      <c r="E10" s="15" t="inlineStr">
        <is>
          <t>new selector</t>
        </is>
      </c>
      <c r="F10" s="15" t="inlineStr">
        <is>
          <t>Quarantine</t>
        </is>
      </c>
    </row>
    <row r="11">
      <c r="A11" s="15" t="inlineStr">
        <is>
          <t>OPEN</t>
        </is>
      </c>
      <c r="B11" s="15" t="inlineStr">
        <is>
          <t>Unresolved target</t>
        </is>
      </c>
      <c r="C11" s="15" t="inlineStr">
        <is>
          <t>NO</t>
        </is>
      </c>
      <c r="D11" s="15" t="inlineStr">
        <is>
          <t>Upstream closure required</t>
        </is>
      </c>
      <c r="E11" s="15" t="inlineStr">
        <is>
          <t>horizon selector</t>
        </is>
      </c>
      <c r="F11" s="15" t="inlineStr">
        <is>
          <t>Quarantine</t>
        </is>
      </c>
    </row>
    <row r="12">
      <c r="A12" s="15" t="inlineStr">
        <is>
          <t>REJECTED</t>
        </is>
      </c>
      <c r="B12" s="15" t="inlineStr">
        <is>
          <t>Explicitly rejected</t>
        </is>
      </c>
      <c r="C12" s="15" t="inlineStr">
        <is>
          <t>NO</t>
        </is>
      </c>
      <c r="D12" s="15" t="inlineStr">
        <is>
          <t>Never re-enter active graph</t>
        </is>
      </c>
      <c r="E12" s="15" t="inlineStr">
        <is>
          <t>noncanonical threshold</t>
        </is>
      </c>
      <c r="F12" s="15" t="inlineStr">
        <is>
          <t>Exclude</t>
        </is>
      </c>
    </row>
    <row r="13">
      <c r="A13" s="15" t="inlineStr">
        <is>
          <t>FALSIFIED</t>
        </is>
      </c>
      <c r="B13" s="15" t="inlineStr">
        <is>
          <t>Contradicted</t>
        </is>
      </c>
      <c r="C13" s="15" t="inlineStr">
        <is>
          <t>NO</t>
        </is>
      </c>
      <c r="D13" s="15" t="inlineStr">
        <is>
          <t>Preserve in audit only</t>
        </is>
      </c>
      <c r="E13" s="15" t="inlineStr">
        <is>
          <t>failed selector</t>
        </is>
      </c>
      <c r="F13" s="15" t="inlineStr">
        <is>
          <t>Exclude</t>
        </is>
      </c>
    </row>
    <row r="14">
      <c r="A14" s="15" t="inlineStr">
        <is>
          <t>RETIRED</t>
        </is>
      </c>
      <c r="B14" s="15" t="inlineStr">
        <is>
          <t>Withdrawn historical branch</t>
        </is>
      </c>
      <c r="C14" s="15" t="inlineStr">
        <is>
          <t>NO</t>
        </is>
      </c>
      <c r="D14" s="15" t="inlineStr">
        <is>
          <t>Archive only</t>
        </is>
      </c>
      <c r="E14" s="15" t="inlineStr">
        <is>
          <t>retired route</t>
        </is>
      </c>
      <c r="F14" s="15" t="inlineStr">
        <is>
          <t>Exclude</t>
        </is>
      </c>
    </row>
    <row r="15">
      <c r="A15" s="15" t="inlineStr">
        <is>
          <t>EMPIRICAL</t>
        </is>
      </c>
      <c r="B15" s="15" t="inlineStr">
        <is>
          <t>External measurement</t>
        </is>
      </c>
      <c r="C15" s="15" t="inlineStr">
        <is>
          <t>BOUNDARY</t>
        </is>
      </c>
      <c r="D15" s="15" t="inlineStr">
        <is>
          <t>Cannot select upstream object</t>
        </is>
      </c>
      <c r="E15" s="15" t="inlineStr">
        <is>
          <t>ħ,c,G_N</t>
        </is>
      </c>
      <c r="F15" s="15" t="inlineStr">
        <is>
          <t>Tag external</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2.xml><?xml version="1.0" encoding="utf-8"?>
<worksheet xmlns="http://schemas.openxmlformats.org/spreadsheetml/2006/main">
  <sheetPr>
    <tabColor rgb="0017233C"/>
    <outlinePr summaryBelow="1" summaryRight="1"/>
    <pageSetUpPr/>
  </sheetPr>
  <dimension ref="A1:G28"/>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8" customWidth="1" min="2" max="2"/>
    <col width="12" customWidth="1" min="3" max="3"/>
    <col width="42" customWidth="1" min="4" max="4"/>
    <col width="34" customWidth="1" min="5" max="5"/>
    <col width="28" customWidth="1" min="6" max="6"/>
    <col width="56" customWidth="1" min="7" max="7"/>
  </cols>
  <sheetData>
    <row r="1" ht="32" customHeight="1">
      <c r="A1" s="13" t="inlineStr">
        <is>
          <t>CANONICAL MDCL DAG</t>
        </is>
      </c>
    </row>
    <row r="2" ht="38" customHeight="1">
      <c r="A2" s="12" t="inlineStr">
        <is>
          <t>Primary topological dependency control sheet.</t>
        </is>
      </c>
    </row>
    <row r="5">
      <c r="A5" s="14" t="inlineStr">
        <is>
          <t>Node</t>
        </is>
      </c>
      <c r="B5" s="14" t="inlineStr">
        <is>
          <t>Object</t>
        </is>
      </c>
      <c r="C5" s="14" t="inlineStr">
        <is>
          <t>Relation</t>
        </is>
      </c>
      <c r="D5" s="14" t="inlineStr">
        <is>
          <t>Upstream</t>
        </is>
      </c>
      <c r="E5" s="14" t="inlineStr">
        <is>
          <t>Downstream</t>
        </is>
      </c>
      <c r="F5" s="14" t="inlineStr">
        <is>
          <t>Status</t>
        </is>
      </c>
      <c r="G5" s="14" t="inlineStr">
        <is>
          <t>Canonical position</t>
        </is>
      </c>
    </row>
    <row r="6">
      <c r="A6" s="15" t="inlineStr">
        <is>
          <t>DAG-001</t>
        </is>
      </c>
      <c r="B6" s="15" t="inlineStr">
        <is>
          <t>D</t>
        </is>
      </c>
      <c r="C6" s="15" t="inlineStr">
        <is>
          <t>≺</t>
        </is>
      </c>
      <c r="D6" s="15" t="inlineStr">
        <is>
          <t>Existence</t>
        </is>
      </c>
      <c r="E6" s="15" t="inlineStr">
        <is>
          <t>T</t>
        </is>
      </c>
      <c r="F6" s="15" t="inlineStr">
        <is>
          <t>DERIVED</t>
        </is>
      </c>
      <c r="G6" s="15" t="inlineStr">
        <is>
          <t>D≺T≺C</t>
        </is>
      </c>
    </row>
    <row r="7">
      <c r="A7" s="15" t="inlineStr">
        <is>
          <t>DAG-002</t>
        </is>
      </c>
      <c r="B7" s="15" t="inlineStr">
        <is>
          <t>T</t>
        </is>
      </c>
      <c r="C7" s="15" t="inlineStr">
        <is>
          <t>≺</t>
        </is>
      </c>
      <c r="D7" s="15" t="inlineStr">
        <is>
          <t>D</t>
        </is>
      </c>
      <c r="E7" s="15" t="inlineStr">
        <is>
          <t>C</t>
        </is>
      </c>
      <c r="F7" s="15" t="inlineStr">
        <is>
          <t>DERIVED</t>
        </is>
      </c>
      <c r="G7" s="15" t="inlineStr">
        <is>
          <t>D≺T≺C</t>
        </is>
      </c>
    </row>
    <row r="8">
      <c r="A8" s="15" t="inlineStr">
        <is>
          <t>DAG-003</t>
        </is>
      </c>
      <c r="B8" s="15" t="inlineStr">
        <is>
          <t>C</t>
        </is>
      </c>
      <c r="C8" s="15" t="inlineStr">
        <is>
          <t>≺</t>
        </is>
      </c>
      <c r="D8" s="15" t="inlineStr">
        <is>
          <t>D,T</t>
        </is>
      </c>
      <c r="E8" s="15" t="inlineStr">
        <is>
          <t>Γ</t>
        </is>
      </c>
      <c r="F8" s="15" t="inlineStr">
        <is>
          <t>DERIVED</t>
        </is>
      </c>
      <c r="G8" s="15" t="inlineStr">
        <is>
          <t>D≺T≺C≺Γ</t>
        </is>
      </c>
    </row>
    <row r="9">
      <c r="A9" s="15" t="inlineStr">
        <is>
          <t>DAG-004</t>
        </is>
      </c>
      <c r="B9" s="15" t="inlineStr">
        <is>
          <t>Γ</t>
        </is>
      </c>
      <c r="C9" s="15" t="inlineStr">
        <is>
          <t>≺</t>
        </is>
      </c>
      <c r="D9" s="15" t="inlineStr">
        <is>
          <t>D,T,C</t>
        </is>
      </c>
      <c r="E9" s="15" t="inlineStr">
        <is>
          <t>ARBS</t>
        </is>
      </c>
      <c r="F9" s="15" t="inlineStr">
        <is>
          <t>DERIVED</t>
        </is>
      </c>
      <c r="G9" s="15" t="inlineStr">
        <is>
          <t>Γ≺ARBS</t>
        </is>
      </c>
    </row>
    <row r="10">
      <c r="A10" s="15" t="inlineStr">
        <is>
          <t>DAG-005</t>
        </is>
      </c>
      <c r="B10" s="15" t="inlineStr">
        <is>
          <t>ARBS</t>
        </is>
      </c>
      <c r="C10" s="15" t="inlineStr">
        <is>
          <t>≺</t>
        </is>
      </c>
      <c r="D10" s="15" t="inlineStr">
        <is>
          <t>Γ</t>
        </is>
      </c>
      <c r="E10" s="15" t="inlineStr">
        <is>
          <t>G★</t>
        </is>
      </c>
      <c r="F10" s="15" t="inlineStr">
        <is>
          <t>CALCULATED / SELECTION</t>
        </is>
      </c>
      <c r="G10" s="15" t="inlineStr">
        <is>
          <t>Γ≺ARBS≺G★</t>
        </is>
      </c>
    </row>
    <row r="11">
      <c r="A11" s="15" t="inlineStr">
        <is>
          <t>DAG-006</t>
        </is>
      </c>
      <c r="B11" s="15" t="inlineStr">
        <is>
          <t>G★</t>
        </is>
      </c>
      <c r="C11" s="15" t="inlineStr">
        <is>
          <t>≺</t>
        </is>
      </c>
      <c r="D11" s="15" t="inlineStr">
        <is>
          <t>ARBS</t>
        </is>
      </c>
      <c r="E11" s="15" t="inlineStr">
        <is>
          <t>B</t>
        </is>
      </c>
      <c r="F11" s="15" t="inlineStr">
        <is>
          <t>CALCULATED</t>
        </is>
      </c>
      <c r="G11" s="15" t="inlineStr">
        <is>
          <t>G★≺B</t>
        </is>
      </c>
    </row>
    <row r="12">
      <c r="A12" s="15" t="inlineStr">
        <is>
          <t>DAG-007</t>
        </is>
      </c>
      <c r="B12" s="15" t="inlineStr">
        <is>
          <t>B</t>
        </is>
      </c>
      <c r="C12" s="15" t="inlineStr">
        <is>
          <t>≺</t>
        </is>
      </c>
      <c r="D12" s="15" t="inlineStr">
        <is>
          <t>G★</t>
        </is>
      </c>
      <c r="E12" s="15" t="inlineStr">
        <is>
          <t>L</t>
        </is>
      </c>
      <c r="F12" s="15" t="inlineStr">
        <is>
          <t>CALCULATED</t>
        </is>
      </c>
      <c r="G12" s="15" t="inlineStr">
        <is>
          <t>B≺L</t>
        </is>
      </c>
    </row>
    <row r="13">
      <c r="A13" s="15" t="inlineStr">
        <is>
          <t>DAG-008</t>
        </is>
      </c>
      <c r="B13" s="15" t="inlineStr">
        <is>
          <t>L</t>
        </is>
      </c>
      <c r="C13" s="15" t="inlineStr">
        <is>
          <t>≺</t>
        </is>
      </c>
      <c r="D13" s="15" t="inlineStr">
        <is>
          <t>B</t>
        </is>
      </c>
      <c r="E13" s="15" t="inlineStr">
        <is>
          <t>D_G / Spec(D_G)</t>
        </is>
      </c>
      <c r="F13" s="15" t="inlineStr">
        <is>
          <t>CALCULATED</t>
        </is>
      </c>
      <c r="G13" s="15" t="inlineStr">
        <is>
          <t>L≺D_G≺Spec(D_G)</t>
        </is>
      </c>
    </row>
    <row r="14">
      <c r="A14" s="15" t="inlineStr">
        <is>
          <t>DAG-009</t>
        </is>
      </c>
      <c r="B14" s="15" t="inlineStr">
        <is>
          <t>Spec(L)</t>
        </is>
      </c>
      <c r="C14" s="15" t="inlineStr">
        <is>
          <t>≺</t>
        </is>
      </c>
      <c r="D14" s="15" t="inlineStr">
        <is>
          <t>L</t>
        </is>
      </c>
      <c r="E14" s="15" t="inlineStr">
        <is>
          <t>Π</t>
        </is>
      </c>
      <c r="F14" s="15" t="inlineStr">
        <is>
          <t>DERIVED</t>
        </is>
      </c>
      <c r="G14" s="15" t="inlineStr">
        <is>
          <t>Spec(L)≺Π</t>
        </is>
      </c>
    </row>
    <row r="15">
      <c r="A15" s="15" t="inlineStr">
        <is>
          <t>DAG-010</t>
        </is>
      </c>
      <c r="B15" s="15" t="inlineStr">
        <is>
          <t>Π</t>
        </is>
      </c>
      <c r="C15" s="15" t="inlineStr">
        <is>
          <t>≺</t>
        </is>
      </c>
      <c r="D15" s="15" t="inlineStr">
        <is>
          <t>Spec(L)</t>
        </is>
      </c>
      <c r="E15" s="15" t="inlineStr">
        <is>
          <t>d</t>
        </is>
      </c>
      <c r="F15" s="15" t="inlineStr">
        <is>
          <t>DERIVED</t>
        </is>
      </c>
      <c r="G15" s="15" t="inlineStr">
        <is>
          <t>Π≺d</t>
        </is>
      </c>
    </row>
    <row r="16">
      <c r="A16" s="15" t="inlineStr">
        <is>
          <t>DAG-011</t>
        </is>
      </c>
      <c r="B16" s="15" t="inlineStr">
        <is>
          <t>d</t>
        </is>
      </c>
      <c r="C16" s="15" t="inlineStr">
        <is>
          <t>≺</t>
        </is>
      </c>
      <c r="D16" s="15" t="inlineStr">
        <is>
          <t>Π</t>
        </is>
      </c>
      <c r="E16" s="15" t="inlineStr">
        <is>
          <t>g</t>
        </is>
      </c>
      <c r="F16" s="15" t="inlineStr">
        <is>
          <t>DERIVED</t>
        </is>
      </c>
      <c r="G16" s="15" t="inlineStr">
        <is>
          <t>d≺g</t>
        </is>
      </c>
    </row>
    <row r="17">
      <c r="A17" s="15" t="inlineStr">
        <is>
          <t>DAG-012</t>
        </is>
      </c>
      <c r="B17" s="15" t="inlineStr">
        <is>
          <t>g</t>
        </is>
      </c>
      <c r="C17" s="15" t="inlineStr">
        <is>
          <t>≺</t>
        </is>
      </c>
      <c r="D17" s="15" t="inlineStr">
        <is>
          <t>d</t>
        </is>
      </c>
      <c r="E17" s="15" t="inlineStr">
        <is>
          <t>∇</t>
        </is>
      </c>
      <c r="F17" s="15" t="inlineStr">
        <is>
          <t>DERIVED</t>
        </is>
      </c>
      <c r="G17" s="15" t="inlineStr">
        <is>
          <t>g≺∇</t>
        </is>
      </c>
    </row>
    <row r="18">
      <c r="A18" s="15" t="inlineStr">
        <is>
          <t>DAG-013</t>
        </is>
      </c>
      <c r="B18" s="15" t="inlineStr">
        <is>
          <t>∇</t>
        </is>
      </c>
      <c r="C18" s="15" t="inlineStr">
        <is>
          <t>≺</t>
        </is>
      </c>
      <c r="D18" s="15" t="inlineStr">
        <is>
          <t>g</t>
        </is>
      </c>
      <c r="E18" s="15" t="inlineStr">
        <is>
          <t>R</t>
        </is>
      </c>
      <c r="F18" s="15" t="inlineStr">
        <is>
          <t>DERIVED</t>
        </is>
      </c>
      <c r="G18" s="15" t="inlineStr">
        <is>
          <t>∇≺R</t>
        </is>
      </c>
    </row>
    <row r="19">
      <c r="A19" s="15" t="inlineStr">
        <is>
          <t>DAG-014</t>
        </is>
      </c>
      <c r="B19" s="15" t="inlineStr">
        <is>
          <t>R</t>
        </is>
      </c>
      <c r="C19" s="15" t="inlineStr">
        <is>
          <t>≺</t>
        </is>
      </c>
      <c r="D19" s="15" t="inlineStr">
        <is>
          <t>∇</t>
        </is>
      </c>
      <c r="E19" s="15" t="inlineStr">
        <is>
          <t>G_{μν}</t>
        </is>
      </c>
      <c r="F19" s="15" t="inlineStr">
        <is>
          <t>DERIVED</t>
        </is>
      </c>
      <c r="G19" s="15" t="inlineStr">
        <is>
          <t>R≺G_{μν}</t>
        </is>
      </c>
    </row>
    <row r="20">
      <c r="A20" s="15" t="inlineStr">
        <is>
          <t>DAG-015</t>
        </is>
      </c>
      <c r="B20" s="15" t="inlineStr">
        <is>
          <t>Action</t>
        </is>
      </c>
      <c r="C20" s="15" t="inlineStr">
        <is>
          <t>≺</t>
        </is>
      </c>
      <c r="D20" s="15" t="inlineStr">
        <is>
          <t>state/geometry</t>
        </is>
      </c>
      <c r="E20" s="15" t="inlineStr">
        <is>
          <t>Euler–Lagrange</t>
        </is>
      </c>
      <c r="F20" s="15" t="inlineStr">
        <is>
          <t>VERIFIED</t>
        </is>
      </c>
      <c r="G20" s="15" t="inlineStr">
        <is>
          <t>S≺δS</t>
        </is>
      </c>
    </row>
    <row r="21">
      <c r="A21" s="15" t="inlineStr">
        <is>
          <t>DAG-016</t>
        </is>
      </c>
      <c r="B21" s="15" t="inlineStr">
        <is>
          <t>L</t>
        </is>
      </c>
      <c r="C21" s="15" t="inlineStr">
        <is>
          <t>≺</t>
        </is>
      </c>
      <c r="D21" s="15" t="inlineStr">
        <is>
          <t>L</t>
        </is>
      </c>
      <c r="E21" s="15" t="inlineStr">
        <is>
          <t>𝒟</t>
        </is>
      </c>
      <c r="F21" s="15" t="inlineStr">
        <is>
          <t>DERIVED</t>
        </is>
      </c>
      <c r="G21" s="15" t="inlineStr">
        <is>
          <t>L≺𝒟</t>
        </is>
      </c>
    </row>
    <row r="22">
      <c r="A22" s="15" t="inlineStr">
        <is>
          <t>DAG-017</t>
        </is>
      </c>
      <c r="B22" s="15" t="inlineStr">
        <is>
          <t>𝒟</t>
        </is>
      </c>
      <c r="C22" s="15" t="inlineStr">
        <is>
          <t>≺</t>
        </is>
      </c>
      <c r="D22" s="15" t="inlineStr">
        <is>
          <t>L</t>
        </is>
      </c>
      <c r="E22" s="15" t="inlineStr">
        <is>
          <t>finite NCG</t>
        </is>
      </c>
      <c r="F22" s="15" t="inlineStr">
        <is>
          <t>DERIVED</t>
        </is>
      </c>
      <c r="G22" s="15" t="inlineStr">
        <is>
          <t>𝒟≺NCG</t>
        </is>
      </c>
    </row>
    <row r="23">
      <c r="A23" s="15" t="inlineStr">
        <is>
          <t>DAG-018</t>
        </is>
      </c>
      <c r="B23" s="15" t="inlineStr">
        <is>
          <t>finite NCG</t>
        </is>
      </c>
      <c r="C23" s="15" t="inlineStr">
        <is>
          <t>≺</t>
        </is>
      </c>
      <c r="D23" s="15" t="inlineStr">
        <is>
          <t>A_F,H_F,J_F,γ_F,D_F</t>
        </is>
      </c>
      <c r="E23" s="15" t="inlineStr">
        <is>
          <t>G_SM</t>
        </is>
      </c>
      <c r="F23" s="15" t="inlineStr">
        <is>
          <t>VERIFIED / DERIVED</t>
        </is>
      </c>
      <c r="G23" s="15" t="inlineStr">
        <is>
          <t>NCG≺G_SM</t>
        </is>
      </c>
    </row>
    <row r="24">
      <c r="A24" s="15" t="inlineStr">
        <is>
          <t>DAG-019</t>
        </is>
      </c>
      <c r="B24" s="15" t="inlineStr">
        <is>
          <t>D_F</t>
        </is>
      </c>
      <c r="C24" s="15" t="inlineStr">
        <is>
          <t>≺</t>
        </is>
      </c>
      <c r="D24" s="15" t="inlineStr">
        <is>
          <t>finite NCG</t>
        </is>
      </c>
      <c r="E24" s="15" t="inlineStr">
        <is>
          <t>Y_f</t>
        </is>
      </c>
      <c r="F24" s="15" t="inlineStr">
        <is>
          <t>DERIVED</t>
        </is>
      </c>
      <c r="G24" s="15" t="inlineStr">
        <is>
          <t>D_F≺Y_f</t>
        </is>
      </c>
    </row>
    <row r="25">
      <c r="A25" s="15" t="inlineStr">
        <is>
          <t>DAG-020</t>
        </is>
      </c>
      <c r="B25" s="15" t="inlineStr">
        <is>
          <t>Y_f</t>
        </is>
      </c>
      <c r="C25" s="15" t="inlineStr">
        <is>
          <t>≺</t>
        </is>
      </c>
      <c r="D25" s="15" t="inlineStr">
        <is>
          <t>D_F</t>
        </is>
      </c>
      <c r="E25" s="15" t="inlineStr">
        <is>
          <t>CKM/PMNS</t>
        </is>
      </c>
      <c r="F25" s="15" t="inlineStr">
        <is>
          <t>DERIVED</t>
        </is>
      </c>
      <c r="G25" s="15" t="inlineStr">
        <is>
          <t>Y_f≺flavor</t>
        </is>
      </c>
    </row>
    <row r="26">
      <c r="A26" s="15" t="inlineStr">
        <is>
          <t>DAG-021</t>
        </is>
      </c>
      <c r="B26" s="15" t="inlineStr">
        <is>
          <t>representation</t>
        </is>
      </c>
      <c r="C26" s="15" t="inlineStr">
        <is>
          <t>≺</t>
        </is>
      </c>
      <c r="D26" s="15" t="inlineStr">
        <is>
          <t>finite NCG</t>
        </is>
      </c>
      <c r="E26" s="15" t="inlineStr">
        <is>
          <t>continuum/YM</t>
        </is>
      </c>
      <c r="F26" s="15" t="inlineStr">
        <is>
          <t>DERIVED</t>
        </is>
      </c>
      <c r="G26" s="15" t="inlineStr">
        <is>
          <t>representation≺continuum≺YM</t>
        </is>
      </c>
    </row>
    <row r="27">
      <c r="A27" s="15" t="inlineStr">
        <is>
          <t>DAG-022</t>
        </is>
      </c>
      <c r="B27" s="15" t="inlineStr">
        <is>
          <t>representation</t>
        </is>
      </c>
      <c r="C27" s="15" t="inlineStr">
        <is>
          <t>≺</t>
        </is>
      </c>
      <c r="D27" s="15" t="inlineStr">
        <is>
          <t>finite NCG</t>
        </is>
      </c>
      <c r="E27" s="15" t="inlineStr">
        <is>
          <t>scale</t>
        </is>
      </c>
      <c r="F27" s="15" t="inlineStr">
        <is>
          <t>DERIVED</t>
        </is>
      </c>
      <c r="G27" s="15" t="inlineStr">
        <is>
          <t>representation≺scale</t>
        </is>
      </c>
    </row>
    <row r="28">
      <c r="A28" s="15" t="inlineStr">
        <is>
          <t>DAG-023</t>
        </is>
      </c>
      <c r="B28" s="15" t="inlineStr">
        <is>
          <t>UOC</t>
        </is>
      </c>
      <c r="C28" s="15" t="inlineStr">
        <is>
          <t>≺</t>
        </is>
      </c>
      <c r="D28" s="15" t="inlineStr">
        <is>
          <t>Γ,MDCL</t>
        </is>
      </c>
      <c r="E28" s="15" t="inlineStr">
        <is>
          <t>Rosetta maps</t>
        </is>
      </c>
      <c r="F28" s="15" t="inlineStr">
        <is>
          <t>DERIVED</t>
        </is>
      </c>
      <c r="G28" s="15"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tabColor rgb="002B7A78"/>
    <outlinePr summaryBelow="1" summaryRight="1"/>
    <pageSetUpPr/>
  </sheetPr>
  <dimension ref="A1:I12"/>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28" customWidth="1" min="2" max="2"/>
    <col width="34" customWidth="1" min="3" max="3"/>
    <col width="30" customWidth="1" min="4" max="4"/>
    <col width="30" customWidth="1" min="5" max="5"/>
    <col width="30" customWidth="1" min="6" max="6"/>
    <col width="34" customWidth="1" min="7" max="7"/>
    <col width="38" customWidth="1" min="8" max="8"/>
    <col width="42" customWidth="1" min="9" max="9"/>
  </cols>
  <sheetData>
    <row r="1" ht="32" customHeight="1">
      <c r="A1" s="13" t="inlineStr">
        <is>
          <t>UNIVERSAL ROSETTA COMPILER</t>
        </is>
      </c>
    </row>
    <row r="2" ht="38" customHeight="1">
      <c r="A2" s="12" t="inlineStr">
        <is>
          <t>Domain equations compiled into the canonical organizational grammar.</t>
        </is>
      </c>
    </row>
    <row r="5">
      <c r="A5" s="14" t="inlineStr">
        <is>
          <t>ID</t>
        </is>
      </c>
      <c r="B5" s="14" t="inlineStr">
        <is>
          <t>Domain</t>
        </is>
      </c>
      <c r="C5" s="14" t="inlineStr">
        <is>
          <t>Domain state</t>
        </is>
      </c>
      <c r="D5" s="14" t="inlineStr">
        <is>
          <t>D</t>
        </is>
      </c>
      <c r="E5" s="14" t="inlineStr">
        <is>
          <t>T</t>
        </is>
      </c>
      <c r="F5" s="14" t="inlineStr">
        <is>
          <t>C</t>
        </is>
      </c>
      <c r="G5" s="14" t="inlineStr">
        <is>
          <t>Operator/spectrum</t>
        </is>
      </c>
      <c r="H5" s="14" t="inlineStr">
        <is>
          <t>Persistence/geometry</t>
        </is>
      </c>
      <c r="I5" s="14" t="inlineStr">
        <is>
          <t>Canonical realization</t>
        </is>
      </c>
    </row>
    <row r="6">
      <c r="A6" s="15" t="inlineStr">
        <is>
          <t>ROS-001</t>
        </is>
      </c>
      <c r="B6" s="15" t="inlineStr">
        <is>
          <t>Physics</t>
        </is>
      </c>
      <c r="C6" s="15" t="inlineStr">
        <is>
          <t>field/state</t>
        </is>
      </c>
      <c r="D6" s="15" t="inlineStr">
        <is>
          <t>distinguish states</t>
        </is>
      </c>
      <c r="E6" s="15" t="inlineStr">
        <is>
          <t>field evolution</t>
        </is>
      </c>
      <c r="F6" s="15" t="inlineStr">
        <is>
          <t>conservation/gauge</t>
        </is>
      </c>
      <c r="G6" s="15" t="inlineStr">
        <is>
          <t>L / field operator; Spec(L)</t>
        </is>
      </c>
      <c r="H6" s="15" t="inlineStr">
        <is>
          <t>Π,d,g</t>
        </is>
      </c>
      <c r="I6" s="15" t="inlineStr">
        <is>
          <t>field law</t>
        </is>
      </c>
    </row>
    <row r="7">
      <c r="A7" s="15" t="inlineStr">
        <is>
          <t>ROS-002</t>
        </is>
      </c>
      <c r="B7" s="15" t="inlineStr">
        <is>
          <t>Statistics</t>
        </is>
      </c>
      <c r="C7" s="15" t="inlineStr">
        <is>
          <t>P(x,t)</t>
        </is>
      </c>
      <c r="D7" s="15" t="inlineStr">
        <is>
          <t>sample distinction</t>
        </is>
      </c>
      <c r="E7" s="15" t="inlineStr">
        <is>
          <t>𝓛* evolution</t>
        </is>
      </c>
      <c r="F7" s="15" t="inlineStr">
        <is>
          <t>normalization</t>
        </is>
      </c>
      <c r="G7" s="15" t="inlineStr">
        <is>
          <t>generator spectrum</t>
        </is>
      </c>
      <c r="H7" s="15" t="inlineStr">
        <is>
          <t>stationary/Fisher</t>
        </is>
      </c>
      <c r="I7" s="15" t="inlineStr">
        <is>
          <t>P,g^F</t>
        </is>
      </c>
    </row>
    <row r="8">
      <c r="A8" s="15" t="inlineStr">
        <is>
          <t>ROS-003</t>
        </is>
      </c>
      <c r="B8" s="15" t="inlineStr">
        <is>
          <t>Thermodynamics</t>
        </is>
      </c>
      <c r="C8" s="15" t="inlineStr">
        <is>
          <t>U,S,T</t>
        </is>
      </c>
      <c r="D8" s="15" t="inlineStr">
        <is>
          <t>macrostate</t>
        </is>
      </c>
      <c r="E8" s="15" t="inlineStr">
        <is>
          <t>transport/production</t>
        </is>
      </c>
      <c r="F8" s="15" t="inlineStr">
        <is>
          <t>second law</t>
        </is>
      </c>
      <c r="G8" s="15" t="inlineStr">
        <is>
          <t>transport modes</t>
        </is>
      </c>
      <c r="H8" s="15" t="inlineStr">
        <is>
          <t>relaxation</t>
        </is>
      </c>
      <c r="I8" s="15" t="inlineStr">
        <is>
          <t>e,S^μ,q^μ</t>
        </is>
      </c>
    </row>
    <row r="9">
      <c r="A9" s="15" t="inlineStr">
        <is>
          <t>ROS-004</t>
        </is>
      </c>
      <c r="B9" s="15" t="inlineStr">
        <is>
          <t>Biology</t>
        </is>
      </c>
      <c r="C9" s="15" t="inlineStr">
        <is>
          <t>cell/network</t>
        </is>
      </c>
      <c r="D9" s="15" t="inlineStr">
        <is>
          <t>entity distinction</t>
        </is>
      </c>
      <c r="E9" s="15" t="inlineStr">
        <is>
          <t>reaction/regulation</t>
        </is>
      </c>
      <c r="F9" s="15" t="inlineStr">
        <is>
          <t>viability/resources</t>
        </is>
      </c>
      <c r="G9" s="15" t="inlineStr">
        <is>
          <t>network operator</t>
        </is>
      </c>
      <c r="H9" s="15" t="inlineStr">
        <is>
          <t>stable modes</t>
        </is>
      </c>
      <c r="I9" s="15" t="inlineStr">
        <is>
          <t>network organization</t>
        </is>
      </c>
    </row>
    <row r="10">
      <c r="A10" s="15" t="inlineStr">
        <is>
          <t>ROS-005</t>
        </is>
      </c>
      <c r="B10" s="15" t="inlineStr">
        <is>
          <t>Chemistry</t>
        </is>
      </c>
      <c r="C10" s="15" t="inlineStr">
        <is>
          <t>configuration</t>
        </is>
      </c>
      <c r="D10" s="15" t="inlineStr">
        <is>
          <t>species/bond</t>
        </is>
      </c>
      <c r="E10" s="15" t="inlineStr">
        <is>
          <t>reaction</t>
        </is>
      </c>
      <c r="F10" s="15" t="inlineStr">
        <is>
          <t>stoichiometry</t>
        </is>
      </c>
      <c r="G10" s="15" t="inlineStr">
        <is>
          <t>reaction operator</t>
        </is>
      </c>
      <c r="H10" s="15" t="inlineStr">
        <is>
          <t>pathway persistence</t>
        </is>
      </c>
      <c r="I10" s="15" t="inlineStr">
        <is>
          <t>reaction network</t>
        </is>
      </c>
    </row>
    <row r="11">
      <c r="A11" s="15" t="inlineStr">
        <is>
          <t>ROS-006</t>
        </is>
      </c>
      <c r="B11" s="15" t="inlineStr">
        <is>
          <t>Ecology</t>
        </is>
      </c>
      <c r="C11" s="15" t="inlineStr">
        <is>
          <t>population</t>
        </is>
      </c>
      <c r="D11" s="15" t="inlineStr">
        <is>
          <t>species distinction</t>
        </is>
      </c>
      <c r="E11" s="15" t="inlineStr">
        <is>
          <t>interaction/growth</t>
        </is>
      </c>
      <c r="F11" s="15" t="inlineStr">
        <is>
          <t>resource constraints</t>
        </is>
      </c>
      <c r="G11" s="15" t="inlineStr">
        <is>
          <t>interaction operator</t>
        </is>
      </c>
      <c r="H11" s="15" t="inlineStr">
        <is>
          <t>stability spectrum</t>
        </is>
      </c>
      <c r="I11" s="15" t="inlineStr">
        <is>
          <t>population organization</t>
        </is>
      </c>
    </row>
    <row r="12">
      <c r="A12" s="15" t="inlineStr">
        <is>
          <t>ROS-007</t>
        </is>
      </c>
      <c r="B12" s="15" t="inlineStr">
        <is>
          <t>Institutions</t>
        </is>
      </c>
      <c r="C12" s="15" t="inlineStr">
        <is>
          <t>organizational state</t>
        </is>
      </c>
      <c r="D12" s="15" t="inlineStr">
        <is>
          <t>role distinction</t>
        </is>
      </c>
      <c r="E12" s="15" t="inlineStr">
        <is>
          <t>decision/process</t>
        </is>
      </c>
      <c r="F12" s="15" t="inlineStr">
        <is>
          <t>rules</t>
        </is>
      </c>
      <c r="G12" s="15" t="inlineStr">
        <is>
          <t>transition operator</t>
        </is>
      </c>
      <c r="H12" s="15" t="inlineStr">
        <is>
          <t>institutional persistence</t>
        </is>
      </c>
      <c r="I12" s="15" t="inlineStr">
        <is>
          <t>organizational structure</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tabColor rgb="006B7280"/>
    <outlinePr summaryBelow="1" summaryRight="1"/>
    <pageSetUpPr/>
  </sheetPr>
  <dimension ref="A1:F12"/>
  <sheetViews>
    <sheetView showGridLines="0" zoomScale="85" workbookViewId="0">
      <pane ySplit="5" topLeftCell="A6" activePane="bottomLeft" state="frozen"/>
      <selection pane="bottomLeft" activeCell="A1" sqref="A1"/>
    </sheetView>
  </sheetViews>
  <sheetFormatPr baseColWidth="8" defaultRowHeight="15"/>
  <cols>
    <col width="52" customWidth="1" min="1" max="1"/>
    <col width="34" customWidth="1" min="2" max="2"/>
    <col width="48" customWidth="1" min="3" max="3"/>
    <col width="26" customWidth="1" min="4" max="4"/>
    <col width="30" customWidth="1" min="5" max="5"/>
    <col width="52" customWidth="1" min="6" max="6"/>
  </cols>
  <sheetData>
    <row r="1" ht="32" customHeight="1">
      <c r="A1" s="13" t="inlineStr">
        <is>
          <t>SOURCE PROVENANCE</t>
        </is>
      </c>
    </row>
    <row r="2" ht="38" customHeight="1">
      <c r="A2" s="12" t="inlineStr">
        <is>
          <t>File-library sources used to assemble the master calculation workbook.</t>
        </is>
      </c>
    </row>
    <row r="5">
      <c r="A5" s="14" t="inlineStr">
        <is>
          <t>Source</t>
        </is>
      </c>
      <c r="B5" s="14" t="inlineStr">
        <is>
          <t>Sheet / matrix</t>
        </is>
      </c>
      <c r="C5" s="14" t="inlineStr">
        <is>
          <t>Content</t>
        </is>
      </c>
      <c r="D5" s="14" t="inlineStr">
        <is>
          <t>Workbook use</t>
        </is>
      </c>
      <c r="E5" s="14" t="inlineStr">
        <is>
          <t>Recovery state</t>
        </is>
      </c>
      <c r="F5" s="14" t="inlineStr">
        <is>
          <t>Citation</t>
        </is>
      </c>
    </row>
    <row r="6">
      <c r="A6" s="15" t="inlineStr">
        <is>
          <t>UOC_ToE_Canonical_Theory_of_Everything_Master_v1.0.xlsx</t>
        </is>
      </c>
      <c r="B6" s="15" t="inlineStr">
        <is>
          <t>10_EQUATIONS_174 / 48_EQUATION_LINEAGE</t>
        </is>
      </c>
      <c r="C6" s="15" t="inlineStr">
        <is>
          <t>174-equation corpus</t>
        </is>
      </c>
      <c r="D6" s="15" t="inlineStr">
        <is>
          <t>32/33</t>
        </is>
      </c>
      <c r="E6" s="15" t="inlineStr">
        <is>
          <t>SOURCE-REGISTERED</t>
        </is>
      </c>
      <c r="F6" s="15" t="inlineStr">
        <is>
          <t>fileciteturn20file18</t>
        </is>
      </c>
    </row>
    <row r="7">
      <c r="A7" s="15" t="inlineStr">
        <is>
          <t>UOC_ToE_Canonical_Master_Variant_Bridge_Execution_v4.0.xlsx</t>
        </is>
      </c>
      <c r="B7" s="15" t="inlineStr">
        <is>
          <t>10_EQUATIONS_174</t>
        </is>
      </c>
      <c r="C7" s="15" t="inlineStr">
        <is>
          <t>NCG and master equation records</t>
        </is>
      </c>
      <c r="D7" s="15" t="inlineStr">
        <is>
          <t>32</t>
        </is>
      </c>
      <c r="E7" s="15" t="inlineStr">
        <is>
          <t>SOURCE-REGISTERED</t>
        </is>
      </c>
      <c r="F7" s="15" t="inlineStr">
        <is>
          <t>fileciteturn19file10</t>
        </is>
      </c>
    </row>
    <row r="8">
      <c r="A8" s="15" t="inlineStr">
        <is>
          <t>UOC_ToE_Canonical_Master_Variant_Bridge_Execution_v4.2_NX001_Audited.xlsx</t>
        </is>
      </c>
      <c r="B8" s="15" t="inlineStr">
        <is>
          <t>BRIDGE_00_MASTER_REGISTRY</t>
        </is>
      </c>
      <c r="C8" s="15" t="inlineStr">
        <is>
          <t>Bridge equations</t>
        </is>
      </c>
      <c r="D8" s="15" t="inlineStr">
        <is>
          <t>35</t>
        </is>
      </c>
      <c r="E8" s="15" t="inlineStr">
        <is>
          <t>SOURCE-REGISTERED</t>
        </is>
      </c>
      <c r="F8" s="15" t="inlineStr">
        <is>
          <t>fileciteturn17file2</t>
        </is>
      </c>
    </row>
    <row r="9">
      <c r="A9" s="15" t="inlineStr">
        <is>
          <t>UOC_ToE_Canonical_Individual_Bridge_Calculation_Closure_v3.0.xlsx</t>
        </is>
      </c>
      <c r="B9" s="15" t="inlineStr">
        <is>
          <t>11_DER_REGISTRY</t>
        </is>
      </c>
      <c r="C9" s="15" t="inlineStr">
        <is>
          <t>DER relations</t>
        </is>
      </c>
      <c r="D9" s="15" t="inlineStr">
        <is>
          <t>34</t>
        </is>
      </c>
      <c r="E9" s="15" t="inlineStr">
        <is>
          <t>SOURCE-REGISTERED</t>
        </is>
      </c>
      <c r="F9" s="15" t="inlineStr">
        <is>
          <t>fileciteturn17file15</t>
        </is>
      </c>
    </row>
    <row r="10">
      <c r="A10" s="15" t="inlineStr">
        <is>
          <t>UCR UCCP UCA v1(1).docx</t>
        </is>
      </c>
      <c r="B10" s="15" t="inlineStr">
        <is>
          <t>UCCP/UCA</t>
        </is>
      </c>
      <c r="C10" s="15" t="inlineStr">
        <is>
          <t>constant classification</t>
        </is>
      </c>
      <c r="D10" s="15" t="inlineStr">
        <is>
          <t>37</t>
        </is>
      </c>
      <c r="E10" s="15" t="inlineStr">
        <is>
          <t>SOURCE-REGISTERED</t>
        </is>
      </c>
      <c r="F10" s="15" t="inlineStr">
        <is>
          <t>fileciteturn16file0</t>
        </is>
      </c>
    </row>
    <row r="11">
      <c r="A11" s="15" t="inlineStr">
        <is>
          <t>UQR UCA v2(1).docx</t>
        </is>
      </c>
      <c r="B11" s="15" t="inlineStr">
        <is>
          <t>UQR/UCA v2</t>
        </is>
      </c>
      <c r="C11" s="15" t="inlineStr">
        <is>
          <t>quantity registry</t>
        </is>
      </c>
      <c r="D11" s="15" t="inlineStr">
        <is>
          <t>38</t>
        </is>
      </c>
      <c r="E11" s="15" t="inlineStr">
        <is>
          <t>SOURCE-REGISTERED</t>
        </is>
      </c>
      <c r="F11" s="15" t="inlineStr">
        <is>
          <t>fileciteturn16file11</t>
        </is>
      </c>
    </row>
    <row r="12">
      <c r="A12" s="15" t="inlineStr">
        <is>
          <t>UOC_ToE_Master_Dependency_DAG_Closure_v1.0.xlsx</t>
        </is>
      </c>
      <c r="B12" s="15" t="inlineStr">
        <is>
          <t>DAG / closure</t>
        </is>
      </c>
      <c r="C12" s="15" t="inlineStr">
        <is>
          <t>dependency-first governance</t>
        </is>
      </c>
      <c r="D12" s="15" t="inlineStr">
        <is>
          <t>42</t>
        </is>
      </c>
      <c r="E12" s="15" t="inlineStr">
        <is>
          <t>SOURCE-REGISTERED</t>
        </is>
      </c>
      <c r="F12" s="15" t="inlineStr">
        <is>
          <t>fileciteturn16file6</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tabColor rgb="00C89B3C"/>
    <outlinePr summaryBelow="1" summaryRight="1"/>
    <pageSetUpPr/>
  </sheetPr>
  <dimension ref="A1:E20"/>
  <sheetViews>
    <sheetView showGridLines="0" zoomScale="85" workbookViewId="0">
      <pane ySplit="5" topLeftCell="A6" activePane="bottomLeft" state="frozen"/>
      <selection pane="bottomLeft" activeCell="A1" sqref="A1"/>
    </sheetView>
  </sheetViews>
  <sheetFormatPr baseColWidth="8" defaultRowHeight="15"/>
  <cols>
    <col width="8" customWidth="1" min="1" max="1"/>
    <col width="34" customWidth="1" min="2" max="2"/>
    <col width="54" customWidth="1" min="3" max="3"/>
    <col width="18" customWidth="1" min="4" max="4"/>
    <col width="24" customWidth="1" min="5" max="5"/>
  </cols>
  <sheetData>
    <row r="1" ht="32" customHeight="1">
      <c r="A1" s="13" t="inlineStr">
        <is>
          <t>UNIVERSAL ROSETTA STONE — MASTER CALCULATION WORKBOOK</t>
        </is>
      </c>
    </row>
    <row r="2" ht="38" customHeight="1">
      <c r="A2" s="12" t="inlineStr">
        <is>
          <t>Navigation and record inventory.</t>
        </is>
      </c>
    </row>
    <row r="5">
      <c r="A5" s="14" t="inlineStr">
        <is>
          <t>#</t>
        </is>
      </c>
      <c r="B5" s="14" t="inlineStr">
        <is>
          <t>Sheet</t>
        </is>
      </c>
      <c r="C5" s="14" t="inlineStr">
        <is>
          <t>Purpose</t>
        </is>
      </c>
      <c r="D5" s="14" t="inlineStr">
        <is>
          <t>Records</t>
        </is>
      </c>
      <c r="E5" s="14" t="inlineStr">
        <is>
          <t>Role</t>
        </is>
      </c>
    </row>
    <row r="6">
      <c r="A6" s="15" t="n">
        <v>1</v>
      </c>
      <c r="B6" s="15" t="inlineStr">
        <is>
          <t>32 MASTER Equation 174</t>
        </is>
      </c>
      <c r="C6" s="15" t="inlineStr">
        <is>
          <t>Complete 174-equation source register</t>
        </is>
      </c>
      <c r="D6" s="15" t="n">
        <v>174</v>
      </c>
      <c r="E6" s="15" t="inlineStr">
        <is>
          <t>PRIMARY</t>
        </is>
      </c>
    </row>
    <row r="7">
      <c r="A7" s="15" t="n">
        <v>2</v>
      </c>
      <c r="B7" s="15" t="inlineStr">
        <is>
          <t>33 Equation Lineage</t>
        </is>
      </c>
      <c r="C7" s="15" t="inlineStr">
        <is>
          <t>Equation dependency lineage</t>
        </is>
      </c>
      <c r="D7" s="15" t="n">
        <v>174</v>
      </c>
      <c r="E7" s="15" t="inlineStr">
        <is>
          <t>PRIMARY</t>
        </is>
      </c>
    </row>
    <row r="8">
      <c r="A8" s="15" t="n">
        <v>3</v>
      </c>
      <c r="B8" s="15" t="inlineStr">
        <is>
          <t>34 DER Registry</t>
        </is>
      </c>
      <c r="C8" s="15" t="inlineStr">
        <is>
          <t>Derivation relations</t>
        </is>
      </c>
      <c r="D8" s="15" t="n">
        <v>26</v>
      </c>
      <c r="E8" s="15" t="inlineStr">
        <is>
          <t>PRIMARY</t>
        </is>
      </c>
    </row>
    <row r="9">
      <c r="A9" s="15" t="n">
        <v>4</v>
      </c>
      <c r="B9" s="15" t="inlineStr">
        <is>
          <t>35 Bridge Registry</t>
        </is>
      </c>
      <c r="C9" s="15" t="inlineStr">
        <is>
          <t>Bridge equations</t>
        </is>
      </c>
      <c r="D9" s="15" t="n">
        <v>15</v>
      </c>
      <c r="E9" s="15" t="inlineStr">
        <is>
          <t>PRIMARY</t>
        </is>
      </c>
    </row>
    <row r="10">
      <c r="A10" s="15" t="n">
        <v>5</v>
      </c>
      <c r="B10" s="15" t="inlineStr">
        <is>
          <t>36 Variable Registry</t>
        </is>
      </c>
      <c r="C10" s="15" t="inlineStr">
        <is>
          <t>Equation-referenced variables</t>
        </is>
      </c>
      <c r="D10" s="15" t="n">
        <v>10</v>
      </c>
      <c r="E10" s="15" t="inlineStr">
        <is>
          <t>PRIMARY</t>
        </is>
      </c>
    </row>
    <row r="11">
      <c r="A11" s="15" t="n">
        <v>6</v>
      </c>
      <c r="B11" s="15" t="inlineStr">
        <is>
          <t>37 Constant Atlas</t>
        </is>
      </c>
      <c r="C11" s="15" t="inlineStr">
        <is>
          <t>UCCP/UCA constant classes</t>
        </is>
      </c>
      <c r="D11" s="15" t="n">
        <v>5</v>
      </c>
      <c r="E11" s="15" t="inlineStr">
        <is>
          <t>PRIMARY</t>
        </is>
      </c>
    </row>
    <row r="12">
      <c r="A12" s="15" t="n">
        <v>7</v>
      </c>
      <c r="B12" s="15" t="inlineStr">
        <is>
          <t>38 UQR Registry</t>
        </is>
      </c>
      <c r="C12" s="15" t="inlineStr">
        <is>
          <t>Quantity classes</t>
        </is>
      </c>
      <c r="D12" s="15" t="n">
        <v>6</v>
      </c>
      <c r="E12" s="15" t="inlineStr">
        <is>
          <t>PRIMARY</t>
        </is>
      </c>
    </row>
    <row r="13">
      <c r="A13" s="15" t="n">
        <v>8</v>
      </c>
      <c r="B13" s="15" t="inlineStr">
        <is>
          <t>39 Calculation Inputs</t>
        </is>
      </c>
      <c r="C13" s="15" t="inlineStr">
        <is>
          <t>ARBS numerical checkpoints</t>
        </is>
      </c>
      <c r="D13" s="15" t="n">
        <v>11</v>
      </c>
      <c r="E13" s="15" t="inlineStr">
        <is>
          <t>PRIMARY</t>
        </is>
      </c>
    </row>
    <row r="14">
      <c r="A14" s="15" t="n">
        <v>9</v>
      </c>
      <c r="B14" s="15" t="inlineStr">
        <is>
          <t>40 Calculation Engine</t>
        </is>
      </c>
      <c r="C14" s="15" t="inlineStr">
        <is>
          <t>Executable formulas</t>
        </is>
      </c>
      <c r="D14" s="15" t="n">
        <v>20</v>
      </c>
      <c r="E14" s="15" t="inlineStr">
        <is>
          <t>PRIMARY</t>
        </is>
      </c>
    </row>
    <row r="15">
      <c r="A15" s="15" t="n">
        <v>10</v>
      </c>
      <c r="B15" s="15" t="inlineStr">
        <is>
          <t>41 Status Audit</t>
        </is>
      </c>
      <c r="C15" s="15" t="inlineStr">
        <is>
          <t>Admission governance</t>
        </is>
      </c>
      <c r="D15" s="15" t="n">
        <v>10</v>
      </c>
      <c r="E15" s="15" t="inlineStr">
        <is>
          <t>PRIMARY</t>
        </is>
      </c>
    </row>
    <row r="16">
      <c r="A16" s="15" t="n">
        <v>11</v>
      </c>
      <c r="B16" s="15" t="inlineStr">
        <is>
          <t>42 Canonical DAG</t>
        </is>
      </c>
      <c r="C16" s="15" t="inlineStr">
        <is>
          <t>MDCL dependency graph</t>
        </is>
      </c>
      <c r="D16" s="15" t="n">
        <v>23</v>
      </c>
      <c r="E16" s="15" t="inlineStr">
        <is>
          <t>PRIMARY</t>
        </is>
      </c>
    </row>
    <row r="17">
      <c r="A17" s="15" t="n">
        <v>12</v>
      </c>
      <c r="B17" s="15" t="inlineStr">
        <is>
          <t>43 Rosetta Compiler</t>
        </is>
      </c>
      <c r="C17" s="15" t="inlineStr">
        <is>
          <t>Cross-domain compilation</t>
        </is>
      </c>
      <c r="D17" s="15" t="n">
        <v>7</v>
      </c>
      <c r="E17" s="15" t="inlineStr">
        <is>
          <t>PRIMARY</t>
        </is>
      </c>
    </row>
    <row r="18">
      <c r="A18" s="15" t="n">
        <v>13</v>
      </c>
      <c r="B18" s="15" t="inlineStr">
        <is>
          <t>44 Source Provenance</t>
        </is>
      </c>
      <c r="C18" s="15" t="inlineStr">
        <is>
          <t>File-library provenance</t>
        </is>
      </c>
      <c r="D18" s="15" t="n">
        <v>7</v>
      </c>
      <c r="E18" s="15" t="inlineStr">
        <is>
          <t>PRIMARY</t>
        </is>
      </c>
    </row>
    <row r="19">
      <c r="A19" t="n">
        <v>14</v>
      </c>
      <c r="B19" t="inlineStr">
        <is>
          <t>46 Calculation Results</t>
        </is>
      </c>
      <c r="C19" t="inlineStr">
        <is>
          <t>Executed calculation run and compatibility audit</t>
        </is>
      </c>
      <c r="D19" t="n">
        <v>27</v>
      </c>
      <c r="E19" t="inlineStr">
        <is>
          <t>CALCULATION</t>
        </is>
      </c>
    </row>
    <row r="20">
      <c r="A20" t="n">
        <v>15</v>
      </c>
      <c r="B20" t="inlineStr">
        <is>
          <t>47 Result Registry</t>
        </is>
      </c>
      <c r="C20" t="inlineStr">
        <is>
          <t>Machine-readable calculated/open result state</t>
        </is>
      </c>
      <c r="D20" t="n">
        <v>15</v>
      </c>
      <c r="E20" t="inlineStr">
        <is>
          <t>CALCULATION</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46.xml><?xml version="1.0" encoding="utf-8"?>
<worksheet xmlns="http://schemas.openxmlformats.org/spreadsheetml/2006/main">
  <sheetPr>
    <tabColor rgb="002B7A78"/>
    <outlinePr summaryBelow="1" summaryRight="1"/>
    <pageSetUpPr/>
  </sheetPr>
  <dimension ref="A1:H33"/>
  <sheetViews>
    <sheetView showGridLines="0" workbookViewId="0">
      <pane ySplit="5" topLeftCell="A6" activePane="bottomLeft" state="frozen"/>
      <selection pane="bottomLeft" activeCell="A1" sqref="A1"/>
    </sheetView>
  </sheetViews>
  <sheetFormatPr baseColWidth="8" defaultRowHeight="15"/>
  <cols>
    <col width="18" customWidth="1" min="1" max="1"/>
    <col width="22" customWidth="1" min="2" max="2"/>
    <col width="20" customWidth="1" min="3" max="3"/>
    <col width="24" customWidth="1" min="4" max="4"/>
    <col width="24" customWidth="1" min="5" max="5"/>
    <col width="22" customWidth="1" min="6" max="6"/>
    <col width="26" customWidth="1" min="7" max="7"/>
    <col width="60" customWidth="1" min="8" max="8"/>
  </cols>
  <sheetData>
    <row r="1" ht="32" customHeight="1">
      <c r="A1" s="13" t="inlineStr">
        <is>
          <t>UNIVERSAL ROSETTA STONE — CALCULATION RUN</t>
        </is>
      </c>
    </row>
    <row r="2" ht="40" customHeight="1">
      <c r="A2" s="12" t="inlineStr">
        <is>
          <t>Executed against the master workbook using only numerical inputs actually present in the calculation-input registry. Missing upstream data is reported rather than inferred.</t>
        </is>
      </c>
    </row>
    <row r="3">
      <c r="A3" s="16" t="inlineStr">
        <is>
          <t>Run conclusion</t>
        </is>
      </c>
      <c r="B3" s="17" t="inlineStr">
        <is>
          <t>Canonical λ_c=1/t_H is calculable, but it does not select the G3 32-boundary; complete spectra remain the next upstream dependency.</t>
        </is>
      </c>
    </row>
    <row r="5">
      <c r="A5" s="14" t="inlineStr">
        <is>
          <t>Calculation</t>
        </is>
      </c>
      <c r="B5" s="14" t="inlineStr">
        <is>
          <t>Shell / branch</t>
        </is>
      </c>
      <c r="C5" s="14" t="inlineStr">
        <is>
          <t>Input</t>
        </is>
      </c>
      <c r="D5" s="14" t="inlineStr">
        <is>
          <t>Computed output</t>
        </is>
      </c>
      <c r="E5" s="14" t="inlineStr">
        <is>
          <t>Reference</t>
        </is>
      </c>
      <c r="F5" s="14" t="inlineStr">
        <is>
          <t>Status</t>
        </is>
      </c>
      <c r="G5" s="14" t="inlineStr">
        <is>
          <t>Dependency state</t>
        </is>
      </c>
      <c r="H5" s="14" t="inlineStr">
        <is>
          <t>Audit note</t>
        </is>
      </c>
    </row>
    <row r="6">
      <c r="A6" s="15" t="inlineStr">
        <is>
          <t>ENG-007/008</t>
        </is>
      </c>
      <c r="B6" s="15" t="inlineStr">
        <is>
          <t>G0</t>
        </is>
      </c>
      <c r="C6" s="15" t="inlineStr">
        <is>
          <t>t_H=0.173286795140</t>
        </is>
      </c>
      <c r="D6" s="15" t="inlineStr">
        <is>
          <t>λ_c=5.770780163555398</t>
        </is>
      </c>
      <c r="E6" s="15" t="inlineStr">
        <is>
          <t>p_A(t_H)=1/2; λ_c=1/t_H</t>
        </is>
      </c>
      <c r="F6" s="15" t="inlineStr">
        <is>
          <t>CALCULATED</t>
        </is>
      </c>
      <c r="G6" s="15" t="inlineStr">
        <is>
          <t>All required inputs present</t>
        </is>
      </c>
      <c r="H6" s="15" t="inlineStr">
        <is>
          <t>Target-independent canonical threshold mapping.</t>
        </is>
      </c>
    </row>
    <row r="7">
      <c r="A7" s="15" t="inlineStr">
        <is>
          <t>ENG-007/008</t>
        </is>
      </c>
      <c r="B7" s="15" t="inlineStr">
        <is>
          <t>G1</t>
        </is>
      </c>
      <c r="C7" s="15" t="inlineStr">
        <is>
          <t>t_H=0.137578446530</t>
        </is>
      </c>
      <c r="D7" s="15" t="inlineStr">
        <is>
          <t>λ_c=7.268580400651221</t>
        </is>
      </c>
      <c r="E7" s="15" t="inlineStr">
        <is>
          <t>p_A(t_H)=1/2; λ_c=1/t_H</t>
        </is>
      </c>
      <c r="F7" s="15" t="inlineStr">
        <is>
          <t>CALCULATED</t>
        </is>
      </c>
      <c r="G7" s="15" t="inlineStr">
        <is>
          <t>All required inputs present</t>
        </is>
      </c>
      <c r="H7" s="15" t="inlineStr">
        <is>
          <t>Target-independent canonical threshold mapping.</t>
        </is>
      </c>
    </row>
    <row r="8">
      <c r="A8" s="15" t="inlineStr">
        <is>
          <t>ENG-007/008</t>
        </is>
      </c>
      <c r="B8" s="15" t="inlineStr">
        <is>
          <t>G2</t>
        </is>
      </c>
      <c r="C8" s="15" t="inlineStr">
        <is>
          <t>t_H=0.079911417241</t>
        </is>
      </c>
      <c r="D8" s="15" t="inlineStr">
        <is>
          <t>λ_c=12.513856399069492</t>
        </is>
      </c>
      <c r="E8" s="15" t="inlineStr">
        <is>
          <t>p_A(t_H)=1/2; λ_c=1/t_H</t>
        </is>
      </c>
      <c r="F8" s="15" t="inlineStr">
        <is>
          <t>CALCULATED</t>
        </is>
      </c>
      <c r="G8" s="15" t="inlineStr">
        <is>
          <t>All required inputs present</t>
        </is>
      </c>
      <c r="H8" s="15" t="inlineStr">
        <is>
          <t>Target-independent canonical threshold mapping.</t>
        </is>
      </c>
    </row>
    <row r="9">
      <c r="A9" s="15" t="inlineStr">
        <is>
          <t>ENG-007/008</t>
        </is>
      </c>
      <c r="B9" s="15" t="inlineStr">
        <is>
          <t>G3</t>
        </is>
      </c>
      <c r="C9" s="15" t="inlineStr">
        <is>
          <t>t_H=0.043225367441</t>
        </is>
      </c>
      <c r="D9" s="15" t="inlineStr">
        <is>
          <t>λ_c=23.134563317823480</t>
        </is>
      </c>
      <c r="E9" s="15" t="inlineStr">
        <is>
          <t>p_A(t_H)=1/2; λ_c=1/t_H</t>
        </is>
      </c>
      <c r="F9" s="15" t="inlineStr">
        <is>
          <t>CALCULATED</t>
        </is>
      </c>
      <c r="G9" s="15" t="inlineStr">
        <is>
          <t>All required inputs present</t>
        </is>
      </c>
      <c r="H9" s="15" t="inlineStr">
        <is>
          <t>Target-independent canonical threshold mapping.</t>
        </is>
      </c>
    </row>
    <row r="10">
      <c r="A10" s="15" t="inlineStr">
        <is>
          <t>ENG-007/008</t>
        </is>
      </c>
      <c r="B10" s="15" t="inlineStr">
        <is>
          <t>G4</t>
        </is>
      </c>
      <c r="C10" s="15" t="inlineStr">
        <is>
          <t>t_H=0.022564403969</t>
        </is>
      </c>
      <c r="D10" s="15" t="inlineStr">
        <is>
          <t>λ_c=44.317589836356648</t>
        </is>
      </c>
      <c r="E10" s="15" t="inlineStr">
        <is>
          <t>p_A(t_H)=1/2; λ_c=1/t_H</t>
        </is>
      </c>
      <c r="F10" s="15" t="inlineStr">
        <is>
          <t>CALCULATED</t>
        </is>
      </c>
      <c r="G10" s="15" t="inlineStr">
        <is>
          <t>All required inputs present</t>
        </is>
      </c>
      <c r="H10" s="15" t="inlineStr">
        <is>
          <t>Target-independent canonical threshold mapping.</t>
        </is>
      </c>
    </row>
    <row r="11">
      <c r="A11" s="15" t="inlineStr">
        <is>
          <t>ARBS-SPEC</t>
        </is>
      </c>
      <c r="B11" s="15" t="inlineStr">
        <is>
          <t>G3</t>
        </is>
      </c>
      <c r="C11" s="15" t="inlineStr">
        <is>
          <t>σ16=2.828427124746192; σ17=2.849152618684595</t>
        </is>
      </c>
      <c r="D11" s="15" t="inlineStr">
        <is>
          <t>Δσ=0.020725493938403</t>
        </is>
      </c>
      <c r="E11" s="15" t="inlineStr">
        <is>
          <t>σ16&lt;σ17</t>
        </is>
      </c>
      <c r="F11" s="15" t="inlineStr">
        <is>
          <t>CALCULATED</t>
        </is>
      </c>
      <c r="G11" s="15" t="inlineStr">
        <is>
          <t>Full boundary inputs present</t>
        </is>
      </c>
      <c r="H11" s="15" t="inlineStr">
        <is>
          <t>Independent of the target state count as a selector.</t>
        </is>
      </c>
    </row>
    <row r="12">
      <c r="A12" s="15" t="inlineStr">
        <is>
          <t>ARBS-SPEC</t>
        </is>
      </c>
      <c r="B12" s="15" t="inlineStr">
        <is>
          <t>G3</t>
        </is>
      </c>
      <c r="C12" s="15" t="inlineStr">
        <is>
          <t>σ16²=8.000000000000011; σ17²=8.117670644557285</t>
        </is>
      </c>
      <c r="D12" s="15" t="inlineStr">
        <is>
          <t>Δλ=0.117670644557274</t>
        </is>
      </c>
      <c r="E12" s="15" t="inlineStr">
        <is>
          <t>λ=σ²</t>
        </is>
      </c>
      <c r="F12" s="15" t="inlineStr">
        <is>
          <t>CALCULATED</t>
        </is>
      </c>
      <c r="G12" s="15" t="inlineStr">
        <is>
          <t>Boundary projector interval available</t>
        </is>
      </c>
      <c r="H12" s="15" t="inlineStr">
        <is>
          <t>This is the positive Laplacian-spectrum interval associated with the two singular values.</t>
        </is>
      </c>
    </row>
    <row r="13">
      <c r="A13" s="15" t="inlineStr">
        <is>
          <t>ARBS-SPEC</t>
        </is>
      </c>
      <c r="B13" s="15" t="inlineStr">
        <is>
          <t>G4</t>
        </is>
      </c>
      <c r="C13" s="15" t="inlineStr">
        <is>
          <t>σ16=3.464101615137755; σ17=3.464101615137755</t>
        </is>
      </c>
      <c r="D13" s="15" t="inlineStr">
        <is>
          <t>Δσ=0</t>
        </is>
      </c>
      <c r="E13" s="15" t="inlineStr">
        <is>
          <t>σ16=σ17</t>
        </is>
      </c>
      <c r="F13" s="15" t="inlineStr">
        <is>
          <t>CALCULATED</t>
        </is>
      </c>
      <c r="G13" s="15" t="inlineStr">
        <is>
          <t>Boundary inputs present</t>
        </is>
      </c>
      <c r="H13" s="15" t="inlineStr">
        <is>
          <t>No isolated boundary at this index.</t>
        </is>
      </c>
    </row>
    <row r="14">
      <c r="A14" s="15" t="inlineStr">
        <is>
          <t>C-004B</t>
        </is>
      </c>
      <c r="B14" s="15" t="inlineStr">
        <is>
          <t>G3</t>
        </is>
      </c>
      <c r="C14" s="15" t="inlineStr">
        <is>
          <t>λ16=8.000000000000011; λ17=8.117670644557285; λc=23.134563317823480</t>
        </is>
      </c>
      <c r="D14" s="15" t="inlineStr">
        <is>
          <t>λ16&lt;λ17&lt;λc = True</t>
        </is>
      </c>
      <c r="E14" s="15" t="inlineStr">
        <is>
          <t>P_H=1_[λc,∞)(L) vs boundary interval</t>
        </is>
      </c>
      <c r="F14" s="15" t="inlineStr">
        <is>
          <t>FALSIFIED FOR 32-BOUNDARY SELECTION</t>
        </is>
      </c>
      <c r="G14" s="15" t="inlineStr">
        <is>
          <t>λc is numerically available; full spectrum is not</t>
        </is>
      </c>
      <c r="H14" s="15" t="inlineStr">
        <is>
          <t>The canonical λc lies above the independently reconstructed 32-boundary. It therefore does not select that isolated cluster.</t>
        </is>
      </c>
    </row>
    <row r="15">
      <c r="A15" s="15" t="inlineStr">
        <is>
          <t>ENG-009</t>
        </is>
      </c>
      <c r="B15" s="15" t="inlineStr">
        <is>
          <t>G0</t>
        </is>
      </c>
      <c r="C15" s="15" t="inlineStr">
        <is>
          <t>λ_c available; λ_max(L) absent</t>
        </is>
      </c>
      <c r="D15" s="15" t="inlineStr">
        <is>
          <t>P_H cannot be rank-evaluated</t>
        </is>
      </c>
      <c r="E15" s="15" t="inlineStr">
        <is>
          <t>P_H=1_[λc,∞)(L)</t>
        </is>
      </c>
      <c r="F15" s="15" t="inlineStr">
        <is>
          <t>OPEN</t>
        </is>
      </c>
      <c r="G15" s="15" t="inlineStr">
        <is>
          <t>Missing full Laplacian spectra</t>
        </is>
      </c>
      <c r="H15" s="15" t="inlineStr">
        <is>
          <t>Do not infer emptiness/nonemptiness from absent λ_max.</t>
        </is>
      </c>
    </row>
    <row r="16">
      <c r="A16" s="15" t="inlineStr">
        <is>
          <t>ENG-009</t>
        </is>
      </c>
      <c r="B16" s="15" t="inlineStr">
        <is>
          <t>G1</t>
        </is>
      </c>
      <c r="C16" s="15" t="inlineStr">
        <is>
          <t>λ_c available; λ_max(L) absent</t>
        </is>
      </c>
      <c r="D16" s="15" t="inlineStr">
        <is>
          <t>P_H cannot be rank-evaluated</t>
        </is>
      </c>
      <c r="E16" s="15" t="inlineStr">
        <is>
          <t>P_H=1_[λc,∞)(L)</t>
        </is>
      </c>
      <c r="F16" s="15" t="inlineStr">
        <is>
          <t>OPEN</t>
        </is>
      </c>
      <c r="G16" s="15" t="inlineStr">
        <is>
          <t>Missing full Laplacian spectra</t>
        </is>
      </c>
      <c r="H16" s="15" t="inlineStr">
        <is>
          <t>Do not infer emptiness/nonemptiness from absent λ_max.</t>
        </is>
      </c>
    </row>
    <row r="17">
      <c r="A17" s="15" t="inlineStr">
        <is>
          <t>ENG-009</t>
        </is>
      </c>
      <c r="B17" s="15" t="inlineStr">
        <is>
          <t>G2</t>
        </is>
      </c>
      <c r="C17" s="15" t="inlineStr">
        <is>
          <t>λ_c available; λ_max(L) absent</t>
        </is>
      </c>
      <c r="D17" s="15" t="inlineStr">
        <is>
          <t>P_H cannot be rank-evaluated</t>
        </is>
      </c>
      <c r="E17" s="15" t="inlineStr">
        <is>
          <t>P_H=1_[λc,∞)(L)</t>
        </is>
      </c>
      <c r="F17" s="15" t="inlineStr">
        <is>
          <t>OPEN</t>
        </is>
      </c>
      <c r="G17" s="15" t="inlineStr">
        <is>
          <t>Missing full Laplacian spectra</t>
        </is>
      </c>
      <c r="H17" s="15" t="inlineStr">
        <is>
          <t>Do not infer emptiness/nonemptiness from absent λ_max.</t>
        </is>
      </c>
    </row>
    <row r="18">
      <c r="A18" s="15" t="inlineStr">
        <is>
          <t>ENG-009</t>
        </is>
      </c>
      <c r="B18" s="15" t="inlineStr">
        <is>
          <t>G3</t>
        </is>
      </c>
      <c r="C18" s="15" t="inlineStr">
        <is>
          <t>λ_c available; λ_max(L) absent</t>
        </is>
      </c>
      <c r="D18" s="15" t="inlineStr">
        <is>
          <t>P_H cannot be rank-evaluated</t>
        </is>
      </c>
      <c r="E18" s="15" t="inlineStr">
        <is>
          <t>P_H=1_[λc,∞)(L)</t>
        </is>
      </c>
      <c r="F18" s="15" t="inlineStr">
        <is>
          <t>OPEN</t>
        </is>
      </c>
      <c r="G18" s="15" t="inlineStr">
        <is>
          <t>Missing full Laplacian spectra</t>
        </is>
      </c>
      <c r="H18" s="15" t="inlineStr">
        <is>
          <t>Do not infer emptiness/nonemptiness from absent λ_max.</t>
        </is>
      </c>
    </row>
    <row r="19">
      <c r="A19" s="15" t="inlineStr">
        <is>
          <t>ENG-009</t>
        </is>
      </c>
      <c r="B19" s="15" t="inlineStr">
        <is>
          <t>G4</t>
        </is>
      </c>
      <c r="C19" s="15" t="inlineStr">
        <is>
          <t>λ_c available; λ_max(L) absent</t>
        </is>
      </c>
      <c r="D19" s="15" t="inlineStr">
        <is>
          <t>P_H cannot be rank-evaluated</t>
        </is>
      </c>
      <c r="E19" s="15" t="inlineStr">
        <is>
          <t>P_H=1_[λc,∞)(L)</t>
        </is>
      </c>
      <c r="F19" s="15" t="inlineStr">
        <is>
          <t>OPEN</t>
        </is>
      </c>
      <c r="G19" s="15" t="inlineStr">
        <is>
          <t>Missing full Laplacian spectra</t>
        </is>
      </c>
      <c r="H19" s="15" t="inlineStr">
        <is>
          <t>Do not infer emptiness/nonemptiness from absent λ_max.</t>
        </is>
      </c>
    </row>
    <row r="20">
      <c r="A20" s="15" t="inlineStr">
        <is>
          <t>ENG-010</t>
        </is>
      </c>
      <c r="B20" s="15" t="inlineStr">
        <is>
          <t>G0–G4</t>
        </is>
      </c>
      <c r="C20" s="15" t="inlineStr">
        <is>
          <t>λ_c available; complete eigenvalue arrays absent</t>
        </is>
      </c>
      <c r="D20" s="15" t="inlineStr">
        <is>
          <t>P_Π cannot be materialized</t>
        </is>
      </c>
      <c r="E20" s="15" t="inlineStr">
        <is>
          <t>P_Π=1_[0,λc)(L)</t>
        </is>
      </c>
      <c r="F20" s="15" t="inlineStr">
        <is>
          <t>OPEN</t>
        </is>
      </c>
      <c r="G20" s="15" t="inlineStr">
        <is>
          <t>Missing complete spectra</t>
        </is>
      </c>
      <c r="H20" s="15" t="inlineStr">
        <is>
          <t>The workbook contains threshold checkpoints but not the complete arrays/eigenvectors required for an explicit projector.</t>
        </is>
      </c>
    </row>
    <row r="21">
      <c r="A21" s="15" t="inlineStr">
        <is>
          <t>C-004B-AUDIT</t>
        </is>
      </c>
      <c r="B21" s="15" t="inlineStr">
        <is>
          <t>all</t>
        </is>
      </c>
      <c r="C21" s="15" t="inlineStr">
        <is>
          <t>λ_c=1/t_H; no N_H dependency</t>
        </is>
      </c>
      <c r="D21" s="15" t="inlineStr">
        <is>
          <t>∂λ_c/∂N_H = 0</t>
        </is>
      </c>
      <c r="E21" s="15" t="inlineStr">
        <is>
          <t>target-independence requirement</t>
        </is>
      </c>
      <c r="F21" s="15" t="inlineStr">
        <is>
          <t>PASSED</t>
        </is>
      </c>
      <c r="G21" s="15" t="inlineStr">
        <is>
          <t>Formula contains no downstream object</t>
        </is>
      </c>
      <c r="H21" s="15" t="inlineStr">
        <is>
          <t>Structural independence follows from the implemented functional form; no fitted downstream parameter used.</t>
        </is>
      </c>
    </row>
    <row r="22">
      <c r="A22" s="15" t="inlineStr">
        <is>
          <t>C-004B-AUDIT</t>
        </is>
      </c>
      <c r="B22" s="15" t="inlineStr">
        <is>
          <t>all</t>
        </is>
      </c>
      <c r="C22" s="15" t="inlineStr">
        <is>
          <t>λ_c=1/t_H; no H_F dependency</t>
        </is>
      </c>
      <c r="D22" s="15" t="inlineStr">
        <is>
          <t>∂λ_c/∂H_F = 0</t>
        </is>
      </c>
      <c r="E22" s="15" t="inlineStr">
        <is>
          <t>target-independence requirement</t>
        </is>
      </c>
      <c r="F22" s="15" t="inlineStr">
        <is>
          <t>PASSED</t>
        </is>
      </c>
      <c r="G22" s="15" t="inlineStr">
        <is>
          <t>Formula contains no downstream object</t>
        </is>
      </c>
      <c r="H22" s="15" t="inlineStr">
        <is>
          <t>Structural independence follows from the implemented functional form; no fitted downstream parameter used.</t>
        </is>
      </c>
    </row>
    <row r="23">
      <c r="A23" s="15" t="inlineStr">
        <is>
          <t>C-004B-AUDIT</t>
        </is>
      </c>
      <c r="B23" s="15" t="inlineStr">
        <is>
          <t>all</t>
        </is>
      </c>
      <c r="C23" s="15" t="inlineStr">
        <is>
          <t>λ_c=1/t_H; no V_CKM dependency</t>
        </is>
      </c>
      <c r="D23" s="15" t="inlineStr">
        <is>
          <t>∂λ_c/∂V_CKM = 0</t>
        </is>
      </c>
      <c r="E23" s="15" t="inlineStr">
        <is>
          <t>target-independence requirement</t>
        </is>
      </c>
      <c r="F23" s="15" t="inlineStr">
        <is>
          <t>PASSED</t>
        </is>
      </c>
      <c r="G23" s="15" t="inlineStr">
        <is>
          <t>Formula contains no downstream object</t>
        </is>
      </c>
      <c r="H23" s="15" t="inlineStr">
        <is>
          <t>Structural independence follows from the implemented functional form; no fitted downstream parameter used.</t>
        </is>
      </c>
    </row>
    <row r="24">
      <c r="A24" s="15" t="inlineStr">
        <is>
          <t>C-004B-AUDIT</t>
        </is>
      </c>
      <c r="B24" s="15" t="inlineStr">
        <is>
          <t>all</t>
        </is>
      </c>
      <c r="C24" s="15" t="inlineStr">
        <is>
          <t>λ_c=1/t_H; no D_F dependency</t>
        </is>
      </c>
      <c r="D24" s="15" t="inlineStr">
        <is>
          <t>∂λ_c/∂D_F = 0</t>
        </is>
      </c>
      <c r="E24" s="15" t="inlineStr">
        <is>
          <t>target-independence requirement</t>
        </is>
      </c>
      <c r="F24" s="15" t="inlineStr">
        <is>
          <t>PASSED</t>
        </is>
      </c>
      <c r="G24" s="15" t="inlineStr">
        <is>
          <t>Formula contains no downstream object</t>
        </is>
      </c>
      <c r="H24" s="15" t="inlineStr">
        <is>
          <t>Structural independence follows from the implemented functional form; no fitted downstream parameter used.</t>
        </is>
      </c>
    </row>
    <row r="25">
      <c r="A25" s="15" t="inlineStr">
        <is>
          <t>C-004B-AUDIT</t>
        </is>
      </c>
      <c r="B25" s="15" t="inlineStr">
        <is>
          <t>all</t>
        </is>
      </c>
      <c r="C25" s="15" t="inlineStr">
        <is>
          <t>λ_c=1/t_H; no J_F dependency</t>
        </is>
      </c>
      <c r="D25" s="15" t="inlineStr">
        <is>
          <t>∂λ_c/∂J_F = 0</t>
        </is>
      </c>
      <c r="E25" s="15" t="inlineStr">
        <is>
          <t>target-independence requirement</t>
        </is>
      </c>
      <c r="F25" s="15" t="inlineStr">
        <is>
          <t>PASSED</t>
        </is>
      </c>
      <c r="G25" s="15" t="inlineStr">
        <is>
          <t>Formula contains no downstream object</t>
        </is>
      </c>
      <c r="H25" s="15" t="inlineStr">
        <is>
          <t>Structural independence follows from the implemented functional form; no fitted downstream parameter used.</t>
        </is>
      </c>
    </row>
    <row r="26">
      <c r="A26" s="15" t="inlineStr">
        <is>
          <t>C-004B-AUDIT</t>
        </is>
      </c>
      <c r="B26" s="15" t="inlineStr">
        <is>
          <t>all</t>
        </is>
      </c>
      <c r="C26" s="15" t="inlineStr">
        <is>
          <t>λ_c=1/t_H; no γ_F dependency</t>
        </is>
      </c>
      <c r="D26" s="15" t="inlineStr">
        <is>
          <t>∂λ_c/∂γ_F = 0</t>
        </is>
      </c>
      <c r="E26" s="15" t="inlineStr">
        <is>
          <t>target-independence requirement</t>
        </is>
      </c>
      <c r="F26" s="15" t="inlineStr">
        <is>
          <t>PASSED</t>
        </is>
      </c>
      <c r="G26" s="15" t="inlineStr">
        <is>
          <t>Formula contains no downstream object</t>
        </is>
      </c>
      <c r="H26" s="15" t="inlineStr">
        <is>
          <t>Structural independence follows from the implemented functional form; no fitted downstream parameter used.</t>
        </is>
      </c>
    </row>
    <row r="27">
      <c r="A27" s="15" t="inlineStr">
        <is>
          <t>C-004B-AUDIT</t>
        </is>
      </c>
      <c r="B27" s="15" t="inlineStr">
        <is>
          <t>all</t>
        </is>
      </c>
      <c r="C27" s="15" t="inlineStr">
        <is>
          <t>λ_c=1/t_H; no Y_u dependency</t>
        </is>
      </c>
      <c r="D27" s="15" t="inlineStr">
        <is>
          <t>∂λ_c/∂Y_u = 0</t>
        </is>
      </c>
      <c r="E27" s="15" t="inlineStr">
        <is>
          <t>target-independence requirement</t>
        </is>
      </c>
      <c r="F27" s="15" t="inlineStr">
        <is>
          <t>PASSED</t>
        </is>
      </c>
      <c r="G27" s="15" t="inlineStr">
        <is>
          <t>Formula contains no downstream object</t>
        </is>
      </c>
      <c r="H27" s="15" t="inlineStr">
        <is>
          <t>Structural independence follows from the implemented functional form; no fitted downstream parameter used.</t>
        </is>
      </c>
    </row>
    <row r="28">
      <c r="A28" s="15" t="inlineStr">
        <is>
          <t>C-004B-AUDIT</t>
        </is>
      </c>
      <c r="B28" s="15" t="inlineStr">
        <is>
          <t>all</t>
        </is>
      </c>
      <c r="C28" s="15" t="inlineStr">
        <is>
          <t>λ_c=1/t_H; no Y_d dependency</t>
        </is>
      </c>
      <c r="D28" s="15" t="inlineStr">
        <is>
          <t>∂λ_c/∂Y_d = 0</t>
        </is>
      </c>
      <c r="E28" s="15" t="inlineStr">
        <is>
          <t>target-independence requirement</t>
        </is>
      </c>
      <c r="F28" s="15" t="inlineStr">
        <is>
          <t>PASSED</t>
        </is>
      </c>
      <c r="G28" s="15" t="inlineStr">
        <is>
          <t>Formula contains no downstream object</t>
        </is>
      </c>
      <c r="H28" s="15" t="inlineStr">
        <is>
          <t>Structural independence follows from the implemented functional form; no fitted downstream parameter used.</t>
        </is>
      </c>
    </row>
    <row r="29">
      <c r="A29" s="15" t="inlineStr">
        <is>
          <t>C-004B-AUDIT</t>
        </is>
      </c>
      <c r="B29" s="15" t="inlineStr">
        <is>
          <t>all</t>
        </is>
      </c>
      <c r="C29" s="15" t="inlineStr">
        <is>
          <t>λ_c=1/t_H; no Y_e dependency</t>
        </is>
      </c>
      <c r="D29" s="15" t="inlineStr">
        <is>
          <t>∂λ_c/∂Y_e = 0</t>
        </is>
      </c>
      <c r="E29" s="15" t="inlineStr">
        <is>
          <t>target-independence requirement</t>
        </is>
      </c>
      <c r="F29" s="15" t="inlineStr">
        <is>
          <t>PASSED</t>
        </is>
      </c>
      <c r="G29" s="15" t="inlineStr">
        <is>
          <t>Formula contains no downstream object</t>
        </is>
      </c>
      <c r="H29" s="15" t="inlineStr">
        <is>
          <t>Structural independence follows from the implemented functional form; no fitted downstream parameter used.</t>
        </is>
      </c>
    </row>
    <row r="30">
      <c r="A30" s="15" t="inlineStr">
        <is>
          <t>C-004B-AUDIT</t>
        </is>
      </c>
      <c r="B30" s="15" t="inlineStr">
        <is>
          <t>all</t>
        </is>
      </c>
      <c r="C30" s="15" t="inlineStr">
        <is>
          <t>λ_c=1/t_H; no Y_ν dependency</t>
        </is>
      </c>
      <c r="D30" s="15" t="inlineStr">
        <is>
          <t>∂λ_c/∂Y_ν = 0</t>
        </is>
      </c>
      <c r="E30" s="15" t="inlineStr">
        <is>
          <t>target-independence requirement</t>
        </is>
      </c>
      <c r="F30" s="15" t="inlineStr">
        <is>
          <t>PASSED</t>
        </is>
      </c>
      <c r="G30" s="15" t="inlineStr">
        <is>
          <t>Formula contains no downstream object</t>
        </is>
      </c>
      <c r="H30" s="15" t="inlineStr">
        <is>
          <t>Structural independence follows from the implemented functional form; no fitted downstream parameter used.</t>
        </is>
      </c>
    </row>
    <row r="31">
      <c r="A31" s="15" t="inlineStr">
        <is>
          <t>C-004B-AUDIT</t>
        </is>
      </c>
      <c r="B31" s="15" t="inlineStr">
        <is>
          <t>all</t>
        </is>
      </c>
      <c r="C31" s="15" t="inlineStr">
        <is>
          <t>λ_c=1/t_H; no U_PMNS dependency</t>
        </is>
      </c>
      <c r="D31" s="15" t="inlineStr">
        <is>
          <t>∂λ_c/∂U_PMNS = 0</t>
        </is>
      </c>
      <c r="E31" s="15" t="inlineStr">
        <is>
          <t>target-independence requirement</t>
        </is>
      </c>
      <c r="F31" s="15" t="inlineStr">
        <is>
          <t>PASSED</t>
        </is>
      </c>
      <c r="G31" s="15" t="inlineStr">
        <is>
          <t>Formula contains no downstream object</t>
        </is>
      </c>
      <c r="H31" s="15" t="inlineStr">
        <is>
          <t>Structural independence follows from the implemented functional form; no fitted downstream parameter used.</t>
        </is>
      </c>
    </row>
    <row r="32">
      <c r="A32" s="15" t="inlineStr">
        <is>
          <t>C-004B-AUDIT</t>
        </is>
      </c>
      <c r="B32" s="15" t="inlineStr">
        <is>
          <t>all</t>
        </is>
      </c>
      <c r="C32" s="15" t="inlineStr">
        <is>
          <t>λ_c=1/t_H; no Ξ_obs dependency</t>
        </is>
      </c>
      <c r="D32" s="15" t="inlineStr">
        <is>
          <t>∂λ_c/∂Ξ_obs = 0</t>
        </is>
      </c>
      <c r="E32" s="15" t="inlineStr">
        <is>
          <t>target-independence requirement</t>
        </is>
      </c>
      <c r="F32" s="15" t="inlineStr">
        <is>
          <t>PASSED</t>
        </is>
      </c>
      <c r="G32" s="15" t="inlineStr">
        <is>
          <t>Formula contains no downstream object</t>
        </is>
      </c>
      <c r="H32" s="15" t="inlineStr">
        <is>
          <t>Structural independence follows from the implemented functional form; no fitted downstream parameter used.</t>
        </is>
      </c>
    </row>
    <row r="33">
      <c r="A33" s="15" t="inlineStr">
        <is>
          <t>CLOSURE</t>
        </is>
      </c>
      <c r="B33" s="15" t="inlineStr">
        <is>
          <t>next target</t>
        </is>
      </c>
      <c r="C33" s="15" t="inlineStr">
        <is>
          <t>Complete positive spectra for G0…G4</t>
        </is>
      </c>
      <c r="D33" s="15" t="inlineStr">
        <is>
          <t>Reconstruct λ_j and/or σ_j arrays</t>
        </is>
      </c>
      <c r="E33" s="15" t="inlineStr">
        <is>
          <t>Required for P_H, P_Π, δ_spec, Π0</t>
        </is>
      </c>
      <c r="F33" s="15" t="inlineStr">
        <is>
          <t>OPEN</t>
        </is>
      </c>
      <c r="G33" s="15" t="inlineStr">
        <is>
          <t>Upstream spectral data missing</t>
        </is>
      </c>
      <c r="H33" s="15" t="inlineStr">
        <is>
          <t>This is the single next upstream computational target.</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tabColor rgb="00C89B3C"/>
    <outlinePr summaryBelow="1" summaryRight="1"/>
    <pageSetUpPr/>
  </sheetPr>
  <dimension ref="A1:G20"/>
  <sheetViews>
    <sheetView showGridLines="0" workbookViewId="0">
      <pane ySplit="5" topLeftCell="A6" activePane="bottomLeft" state="frozen"/>
      <selection pane="bottomLeft" activeCell="A1" sqref="A1"/>
    </sheetView>
  </sheetViews>
  <sheetFormatPr baseColWidth="8" defaultRowHeight="15"/>
  <cols>
    <col width="20" customWidth="1" min="1" max="1"/>
    <col width="28" customWidth="1" min="2" max="2"/>
    <col width="32" customWidth="1" min="3" max="3"/>
    <col width="34" customWidth="1" min="4" max="4"/>
    <col width="30" customWidth="1" min="5" max="5"/>
    <col width="20" customWidth="1" min="6" max="6"/>
    <col width="38" customWidth="1" min="7" max="7"/>
  </cols>
  <sheetData>
    <row r="1">
      <c r="A1" s="18" t="inlineStr">
        <is>
          <t>MACHINE-READABLE RESULT REGISTRY</t>
        </is>
      </c>
    </row>
    <row r="2">
      <c r="A2" s="19" t="inlineStr">
        <is>
          <t>Only calculated or explicitly open results are admitted. No rejected/unresolved formulation is promoted.</t>
        </is>
      </c>
    </row>
    <row r="5">
      <c r="A5" s="20" t="inlineStr">
        <is>
          <t>Result ID</t>
        </is>
      </c>
      <c r="B5" s="20" t="inlineStr">
        <is>
          <t>Object</t>
        </is>
      </c>
      <c r="C5" s="20" t="inlineStr">
        <is>
          <t>Value</t>
        </is>
      </c>
      <c r="D5" s="20" t="inlineStr">
        <is>
          <t>State</t>
        </is>
      </c>
      <c r="E5" s="20" t="inlineStr">
        <is>
          <t>Source/engine</t>
        </is>
      </c>
      <c r="F5" s="20" t="inlineStr">
        <is>
          <t>Target-conditioned?</t>
        </is>
      </c>
      <c r="G5" s="20" t="inlineStr">
        <is>
          <t>Next use</t>
        </is>
      </c>
    </row>
    <row r="6">
      <c r="A6" s="15" t="inlineStr">
        <is>
          <t>RES-G0-tH</t>
        </is>
      </c>
      <c r="B6" s="15" t="inlineStr">
        <is>
          <t>t_H(G0)</t>
        </is>
      </c>
      <c r="C6" s="15" t="inlineStr">
        <is>
          <t>0.173286795140</t>
        </is>
      </c>
      <c r="D6" s="15" t="inlineStr">
        <is>
          <t>CALCULATED</t>
        </is>
      </c>
      <c r="E6" s="15" t="inlineStr">
        <is>
          <t>ENG-007</t>
        </is>
      </c>
      <c r="F6" s="15" t="inlineStr">
        <is>
          <t>NO</t>
        </is>
      </c>
      <c r="G6" s="15" t="inlineStr">
        <is>
          <t>λ_c</t>
        </is>
      </c>
    </row>
    <row r="7">
      <c r="A7" s="15" t="inlineStr">
        <is>
          <t>RES-G0-lc</t>
        </is>
      </c>
      <c r="B7" s="15" t="inlineStr">
        <is>
          <t>λ_c(G0)</t>
        </is>
      </c>
      <c r="C7" s="15" t="inlineStr">
        <is>
          <t>5.770780163555398</t>
        </is>
      </c>
      <c r="D7" s="15" t="inlineStr">
        <is>
          <t>CALCULATED</t>
        </is>
      </c>
      <c r="E7" s="15" t="inlineStr">
        <is>
          <t>ENG-008</t>
        </is>
      </c>
      <c r="F7" s="15" t="inlineStr">
        <is>
          <t>NO</t>
        </is>
      </c>
      <c r="G7" s="15" t="inlineStr">
        <is>
          <t>P_H / C-004B</t>
        </is>
      </c>
    </row>
    <row r="8">
      <c r="A8" s="15" t="inlineStr">
        <is>
          <t>RES-G1-tH</t>
        </is>
      </c>
      <c r="B8" s="15" t="inlineStr">
        <is>
          <t>t_H(G1)</t>
        </is>
      </c>
      <c r="C8" s="15" t="inlineStr">
        <is>
          <t>0.137578446530</t>
        </is>
      </c>
      <c r="D8" s="15" t="inlineStr">
        <is>
          <t>CALCULATED</t>
        </is>
      </c>
      <c r="E8" s="15" t="inlineStr">
        <is>
          <t>ENG-007</t>
        </is>
      </c>
      <c r="F8" s="15" t="inlineStr">
        <is>
          <t>NO</t>
        </is>
      </c>
      <c r="G8" s="15" t="inlineStr">
        <is>
          <t>λ_c</t>
        </is>
      </c>
    </row>
    <row r="9">
      <c r="A9" s="15" t="inlineStr">
        <is>
          <t>RES-G1-lc</t>
        </is>
      </c>
      <c r="B9" s="15" t="inlineStr">
        <is>
          <t>λ_c(G1)</t>
        </is>
      </c>
      <c r="C9" s="15" t="inlineStr">
        <is>
          <t>7.268580400651221</t>
        </is>
      </c>
      <c r="D9" s="15" t="inlineStr">
        <is>
          <t>CALCULATED</t>
        </is>
      </c>
      <c r="E9" s="15" t="inlineStr">
        <is>
          <t>ENG-008</t>
        </is>
      </c>
      <c r="F9" s="15" t="inlineStr">
        <is>
          <t>NO</t>
        </is>
      </c>
      <c r="G9" s="15" t="inlineStr">
        <is>
          <t>P_H / C-004B</t>
        </is>
      </c>
    </row>
    <row r="10">
      <c r="A10" s="15" t="inlineStr">
        <is>
          <t>RES-G2-tH</t>
        </is>
      </c>
      <c r="B10" s="15" t="inlineStr">
        <is>
          <t>t_H(G2)</t>
        </is>
      </c>
      <c r="C10" s="15" t="inlineStr">
        <is>
          <t>0.079911417241</t>
        </is>
      </c>
      <c r="D10" s="15" t="inlineStr">
        <is>
          <t>CALCULATED</t>
        </is>
      </c>
      <c r="E10" s="15" t="inlineStr">
        <is>
          <t>ENG-007</t>
        </is>
      </c>
      <c r="F10" s="15" t="inlineStr">
        <is>
          <t>NO</t>
        </is>
      </c>
      <c r="G10" s="15" t="inlineStr">
        <is>
          <t>λ_c</t>
        </is>
      </c>
    </row>
    <row r="11">
      <c r="A11" s="15" t="inlineStr">
        <is>
          <t>RES-G2-lc</t>
        </is>
      </c>
      <c r="B11" s="15" t="inlineStr">
        <is>
          <t>λ_c(G2)</t>
        </is>
      </c>
      <c r="C11" s="15" t="inlineStr">
        <is>
          <t>12.513856399069492</t>
        </is>
      </c>
      <c r="D11" s="15" t="inlineStr">
        <is>
          <t>CALCULATED</t>
        </is>
      </c>
      <c r="E11" s="15" t="inlineStr">
        <is>
          <t>ENG-008</t>
        </is>
      </c>
      <c r="F11" s="15" t="inlineStr">
        <is>
          <t>NO</t>
        </is>
      </c>
      <c r="G11" s="15" t="inlineStr">
        <is>
          <t>P_H / C-004B</t>
        </is>
      </c>
    </row>
    <row r="12">
      <c r="A12" s="15" t="inlineStr">
        <is>
          <t>RES-G3-tH</t>
        </is>
      </c>
      <c r="B12" s="15" t="inlineStr">
        <is>
          <t>t_H(G3)</t>
        </is>
      </c>
      <c r="C12" s="15" t="inlineStr">
        <is>
          <t>0.043225367441</t>
        </is>
      </c>
      <c r="D12" s="15" t="inlineStr">
        <is>
          <t>CALCULATED</t>
        </is>
      </c>
      <c r="E12" s="15" t="inlineStr">
        <is>
          <t>ENG-007</t>
        </is>
      </c>
      <c r="F12" s="15" t="inlineStr">
        <is>
          <t>NO</t>
        </is>
      </c>
      <c r="G12" s="15" t="inlineStr">
        <is>
          <t>λ_c</t>
        </is>
      </c>
    </row>
    <row r="13">
      <c r="A13" s="15" t="inlineStr">
        <is>
          <t>RES-G3-lc</t>
        </is>
      </c>
      <c r="B13" s="15" t="inlineStr">
        <is>
          <t>λ_c(G3)</t>
        </is>
      </c>
      <c r="C13" s="15" t="inlineStr">
        <is>
          <t>23.134563317823480</t>
        </is>
      </c>
      <c r="D13" s="15" t="inlineStr">
        <is>
          <t>CALCULATED</t>
        </is>
      </c>
      <c r="E13" s="15" t="inlineStr">
        <is>
          <t>ENG-008</t>
        </is>
      </c>
      <c r="F13" s="15" t="inlineStr">
        <is>
          <t>NO</t>
        </is>
      </c>
      <c r="G13" s="15" t="inlineStr">
        <is>
          <t>P_H / C-004B</t>
        </is>
      </c>
    </row>
    <row r="14">
      <c r="A14" s="15" t="inlineStr">
        <is>
          <t>RES-G4-tH</t>
        </is>
      </c>
      <c r="B14" s="15" t="inlineStr">
        <is>
          <t>t_H(G4)</t>
        </is>
      </c>
      <c r="C14" s="15" t="inlineStr">
        <is>
          <t>0.022564403969</t>
        </is>
      </c>
      <c r="D14" s="15" t="inlineStr">
        <is>
          <t>CALCULATED</t>
        </is>
      </c>
      <c r="E14" s="15" t="inlineStr">
        <is>
          <t>ENG-007</t>
        </is>
      </c>
      <c r="F14" s="15" t="inlineStr">
        <is>
          <t>NO</t>
        </is>
      </c>
      <c r="G14" s="15" t="inlineStr">
        <is>
          <t>λ_c</t>
        </is>
      </c>
    </row>
    <row r="15">
      <c r="A15" s="15" t="inlineStr">
        <is>
          <t>RES-G4-lc</t>
        </is>
      </c>
      <c r="B15" s="15" t="inlineStr">
        <is>
          <t>λ_c(G4)</t>
        </is>
      </c>
      <c r="C15" s="15" t="inlineStr">
        <is>
          <t>44.317589836356648</t>
        </is>
      </c>
      <c r="D15" s="15" t="inlineStr">
        <is>
          <t>CALCULATED</t>
        </is>
      </c>
      <c r="E15" s="15" t="inlineStr">
        <is>
          <t>ENG-008</t>
        </is>
      </c>
      <c r="F15" s="15" t="inlineStr">
        <is>
          <t>NO</t>
        </is>
      </c>
      <c r="G15" s="15" t="inlineStr">
        <is>
          <t>P_H / C-004B</t>
        </is>
      </c>
    </row>
    <row r="16">
      <c r="A16" s="15" t="inlineStr">
        <is>
          <t>RES-G3-gap</t>
        </is>
      </c>
      <c r="B16" s="15" t="inlineStr">
        <is>
          <t>Δσ_32/33(G3)</t>
        </is>
      </c>
      <c r="C16" s="15" t="inlineStr">
        <is>
          <t>0.020725493938403</t>
        </is>
      </c>
      <c r="D16" s="15" t="inlineStr">
        <is>
          <t>CALCULATED</t>
        </is>
      </c>
      <c r="E16" s="15" t="inlineStr">
        <is>
          <t>ARBS-FULL-SPEC-001</t>
        </is>
      </c>
      <c r="F16" s="15" t="inlineStr">
        <is>
          <t>NO</t>
        </is>
      </c>
      <c r="G16" s="15" t="inlineStr">
        <is>
          <t>Boundary compatibility</t>
        </is>
      </c>
    </row>
    <row r="17">
      <c r="A17" s="15" t="inlineStr">
        <is>
          <t>RES-G3-boundary</t>
        </is>
      </c>
      <c r="B17" s="15" t="inlineStr">
        <is>
          <t>[λ16,λ17)(G3)</t>
        </is>
      </c>
      <c r="C17" s="15" t="inlineStr">
        <is>
          <t>[8.000000000000011,8.117670644557285)</t>
        </is>
      </c>
      <c r="D17" s="15" t="inlineStr">
        <is>
          <t>CALCULATED</t>
        </is>
      </c>
      <c r="E17" s="15" t="inlineStr">
        <is>
          <t>ARBS-FULL-SPEC-001</t>
        </is>
      </c>
      <c r="F17" s="15" t="inlineStr">
        <is>
          <t>NO</t>
        </is>
      </c>
      <c r="G17" s="15" t="inlineStr">
        <is>
          <t>Potential cluster projector</t>
        </is>
      </c>
    </row>
    <row r="18">
      <c r="A18" s="15" t="inlineStr">
        <is>
          <t>RES-G4-degeneracy</t>
        </is>
      </c>
      <c r="B18" s="15" t="inlineStr">
        <is>
          <t>σ16−σ17(G4)</t>
        </is>
      </c>
      <c r="C18" s="15" t="inlineStr">
        <is>
          <t>0</t>
        </is>
      </c>
      <c r="D18" s="15" t="inlineStr">
        <is>
          <t>CALCULATED</t>
        </is>
      </c>
      <c r="E18" s="15" t="inlineStr">
        <is>
          <t>ARBS-FULL-SPEC-001</t>
        </is>
      </c>
      <c r="F18" s="15" t="inlineStr">
        <is>
          <t>NO</t>
        </is>
      </c>
      <c r="G18" s="15" t="inlineStr">
        <is>
          <t>No isolated boundary</t>
        </is>
      </c>
    </row>
    <row r="19">
      <c r="A19" s="15" t="inlineStr">
        <is>
          <t>RES-C004B</t>
        </is>
      </c>
      <c r="B19" s="15" t="inlineStr">
        <is>
          <t>λ_c vs G3 boundary</t>
        </is>
      </c>
      <c r="C19" s="15" t="inlineStr">
        <is>
          <t>23.134563317823480 &gt; 8.117670644557285</t>
        </is>
      </c>
      <c r="D19" s="15" t="inlineStr">
        <is>
          <t>FALSIFIED FOR TARGET COMPATIBILITY</t>
        </is>
      </c>
      <c r="E19" s="15" t="inlineStr">
        <is>
          <t>ENG-008 + ARBS spectrum</t>
        </is>
      </c>
      <c r="F19" s="15" t="inlineStr">
        <is>
          <t>NO</t>
        </is>
      </c>
      <c r="G19" s="15" t="inlineStr">
        <is>
          <t>Do not promote 32-sector</t>
        </is>
      </c>
    </row>
    <row r="20">
      <c r="A20" s="15" t="inlineStr">
        <is>
          <t>OPEN-NEXT</t>
        </is>
      </c>
      <c r="B20" s="15" t="inlineStr">
        <is>
          <t>Complete ARBS spectra</t>
        </is>
      </c>
      <c r="C20" s="15" t="inlineStr">
        <is>
          <t>λ_j / σ_j arrays G0…G4</t>
        </is>
      </c>
      <c r="D20" s="15" t="inlineStr">
        <is>
          <t>OPEN</t>
        </is>
      </c>
      <c r="E20" s="15" t="inlineStr">
        <is>
          <t>ARBS-FULL-SPEC-001</t>
        </is>
      </c>
      <c r="F20" s="15" t="inlineStr">
        <is>
          <t>NO</t>
        </is>
      </c>
      <c r="G20" s="15" t="inlineStr">
        <is>
          <t>P_H, P_Π, δ_spec, Π0</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0" customWidth="1" min="1" max="1"/>
    <col width="60" customWidth="1" min="2" max="2"/>
    <col width="70" customWidth="1" min="3" max="3"/>
    <col width="8" customWidth="1" min="4" max="4"/>
    <col width="60" customWidth="1" min="5" max="5"/>
  </cols>
  <sheetData>
    <row r="1">
      <c r="A1" s="21" t="inlineStr">
        <is>
          <t>SPECTRAL RECONSTRUCTION AUDIT</t>
        </is>
      </c>
    </row>
    <row r="2">
      <c r="A2" s="22" t="inlineStr">
        <is>
          <t>Search for the complete ARBS spectra {lambda_k,j} / {sigma_k,j}, k=0..4, and for the canonical ARBS recursive graph construction rule, executed against all four supplied source workbooks and the project repository.</t>
        </is>
      </c>
    </row>
    <row r="4">
      <c r="A4" s="23" t="inlineStr">
        <is>
          <t>Source searched</t>
        </is>
      </c>
      <c r="B4" s="23" t="inlineStr">
        <is>
          <t>Sheets inspected</t>
        </is>
      </c>
      <c r="C4" s="23" t="inlineStr">
        <is>
          <t>Object sought</t>
        </is>
      </c>
      <c r="D4" s="23" t="inlineStr">
        <is>
          <t>Found?</t>
        </is>
      </c>
      <c r="E4" s="23" t="inlineStr">
        <is>
          <t>Finding</t>
        </is>
      </c>
    </row>
    <row r="5">
      <c r="A5" s="24" t="inlineStr">
        <is>
          <t>Universal_Rosetta_Stone_MASTER_CALCULATION_WORKBOOK_v1.0.xlsx</t>
        </is>
      </c>
      <c r="B5" s="24" t="inlineStr">
        <is>
          <t>all 47 sheets</t>
        </is>
      </c>
      <c r="C5" s="24" t="inlineStr">
        <is>
          <t>ARBS adjacency/incidence matrices, full eigenvalue arrays, recursive graph rule</t>
        </is>
      </c>
      <c r="D5" s="24" t="inlineStr">
        <is>
          <t>NO</t>
        </is>
      </c>
      <c r="E5" s="24" t="inlineStr">
        <is>
          <t>Only checkpoint scalars (N,E per shell; sigma16/sigma17 for G3/G4; t_H, lambda_c per shell) are present. No node/edge list, no adjacency matrix, no algorithmic construction rule.</t>
        </is>
      </c>
    </row>
    <row r="6">
      <c r="A6" s="24" t="inlineStr">
        <is>
          <t>Universal_Rosetta_Stone_Master_Workbook.xlsx</t>
        </is>
      </c>
      <c r="B6" s="24" t="inlineStr">
        <is>
          <t>all 11 sheets</t>
        </is>
      </c>
      <c r="C6" s="24" t="inlineStr">
        <is>
          <t>same</t>
        </is>
      </c>
      <c r="D6" s="24" t="inlineStr">
        <is>
          <t>NO</t>
        </is>
      </c>
      <c r="E6" s="24" t="inlineStr">
        <is>
          <t>Documentation-tier subset of the master workbook; no numeric spectra.</t>
        </is>
      </c>
    </row>
    <row r="7">
      <c r="A7" s="24" t="inlineStr">
        <is>
          <t>Universal_Rosetta_Stone_FULL_UNIFICATION_MATRIX.xlsx</t>
        </is>
      </c>
      <c r="B7" s="24" t="inlineStr">
        <is>
          <t>all 31 sheets</t>
        </is>
      </c>
      <c r="C7" s="24" t="inlineStr">
        <is>
          <t>same</t>
        </is>
      </c>
      <c r="D7" s="24" t="inlineStr">
        <is>
          <t>NO</t>
        </is>
      </c>
      <c r="E7" s="24" t="inlineStr">
        <is>
          <t>Extends registries/matrices; no ARBS construction rule or spectra found.</t>
        </is>
      </c>
    </row>
    <row r="8">
      <c r="A8" s="24" t="inlineStr">
        <is>
          <t>Universal_Rosetta_Stone_MDCL_Complete.xlsx</t>
        </is>
      </c>
      <c r="B8" s="24" t="inlineStr">
        <is>
          <t>all 21 sheets</t>
        </is>
      </c>
      <c r="C8" s="24" t="inlineStr">
        <is>
          <t>same</t>
        </is>
      </c>
      <c r="D8" s="24" t="inlineStr">
        <is>
          <t>NO</t>
        </is>
      </c>
      <c r="E8" s="24" t="inlineStr">
        <is>
          <t>Grammar/compiler/domain-core content; no ARBS construction rule or spectra found.</t>
        </is>
      </c>
    </row>
    <row r="9">
      <c r="A9" s="24" t="inlineStr">
        <is>
          <t>Project repository (BLZIX989/URSP)</t>
        </is>
      </c>
      <c r="B9" s="24" t="inlineStr">
        <is>
          <t>entire tree</t>
        </is>
      </c>
      <c r="C9" s="24" t="inlineStr">
        <is>
          <t>same</t>
        </is>
      </c>
      <c r="D9" s="24" t="inlineStr">
        <is>
          <t>NO</t>
        </is>
      </c>
      <c r="E9" s="24" t="inlineStr">
        <is>
          <t>Repository contained only a one-line README at session start; no source code, CSV, or checkpoint files of any kind.</t>
        </is>
      </c>
    </row>
    <row r="11">
      <c r="A11" s="25" t="inlineStr">
        <is>
          <t>Object referenced repeatedly as the source of the checkpoint numbers:</t>
        </is>
      </c>
    </row>
    <row r="12">
      <c r="A12" s="23" t="inlineStr">
        <is>
          <t>Reference ID</t>
        </is>
      </c>
      <c r="B12" s="23" t="inlineStr">
        <is>
          <t>Cited as source for</t>
        </is>
      </c>
      <c r="C12" s="23" t="inlineStr">
        <is>
          <t>Located?</t>
        </is>
      </c>
    </row>
    <row r="13">
      <c r="A13" s="24" t="inlineStr">
        <is>
          <t>ARBS-FULL-SPEC-001</t>
        </is>
      </c>
      <c r="B13" s="24" t="inlineStr">
        <is>
          <t>N,E per shell; sigma16/sigma17(G3); sigma16=sigma17(G4); Delta_sigma; RES-G3-boundary; RES-G4-degeneracy; OPEN-NEXT</t>
        </is>
      </c>
      <c r="C13" s="24" t="inlineStr">
        <is>
          <t>NO -- cited in '47 Result Registry' and '39 Calculation Inputs' as provenance, but no object with this ID (graph data, construction algorithm, or spectrum array) exists in any of the four workbooks or the repository.</t>
        </is>
      </c>
    </row>
    <row r="16">
      <c r="A16" s="26" t="inlineStr">
        <is>
          <t>STOP FINDING</t>
        </is>
      </c>
    </row>
    <row r="17" ht="60" customHeight="1">
      <c r="A17" s="24" t="inlineStr">
        <is>
          <t>The single missing upstream datum is the canonical ARBS recursive graph construction rule (equivalently: explicit adjacency/incidence data for G0-G4, sufficient to build L=D-A and B with B B^T = L directly from the construction, independent of any downstream numeric target). Per the governing instructions (Section 5/20), reconstruction stops exactly here: the complete spectra {lambda_k,j} cannot be produced, and none were invented.</t>
        </is>
      </c>
    </row>
  </sheetData>
  <mergeCells count="1">
    <mergeCell ref="A17:E17"/>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6" customWidth="1" min="1" max="1"/>
    <col width="18" customWidth="1" min="2" max="2"/>
    <col width="18" customWidth="1" min="3" max="3"/>
    <col width="18" customWidth="1" min="4" max="4"/>
    <col width="14" customWidth="1" min="5" max="5"/>
    <col width="20" customWidth="1" min="6" max="6"/>
  </cols>
  <sheetData>
    <row r="1">
      <c r="A1" s="21" t="inlineStr">
        <is>
          <t>ARITHMETIC SELF-CONSISTENCY VERIFICATION</t>
        </is>
      </c>
    </row>
    <row r="2">
      <c r="A2" s="22" t="inlineStr">
        <is>
          <t>Independently re-evaluated with live formulas from the checkpoint scalars already recorded in '39 Calculation Inputs'. This verifies internal consistency of the reported numbers only (sigma^2 vs lambda; 1/t_H vs lambda_c); it does NOT independently confirm those numbers against any actual graph Laplacian, because no ARBS graph data exists in the source material (see sheet 48).</t>
        </is>
      </c>
    </row>
    <row r="5">
      <c r="A5" s="23" t="inlineStr">
        <is>
          <t>Shell</t>
        </is>
      </c>
      <c r="B5" s="23" t="inlineStr">
        <is>
          <t>t_H (given)</t>
        </is>
      </c>
      <c r="C5" s="23" t="inlineStr">
        <is>
          <t>1/t_H (formula)</t>
        </is>
      </c>
      <c r="D5" s="23" t="inlineStr">
        <is>
          <t>lambda_c (given)</t>
        </is>
      </c>
      <c r="E5" s="23" t="inlineStr">
        <is>
          <t>abs diff</t>
        </is>
      </c>
      <c r="F5" s="23" t="inlineStr">
        <is>
          <t>Consistent (&lt;1e-10)?</t>
        </is>
      </c>
    </row>
    <row r="6">
      <c r="A6" s="24" t="inlineStr">
        <is>
          <t>G0</t>
        </is>
      </c>
      <c r="B6" s="24" t="n">
        <v>0.17328679514</v>
      </c>
      <c r="C6" s="24">
        <f>1/B6</f>
        <v/>
      </c>
      <c r="D6" s="24" t="n">
        <v>5.770780163555398</v>
      </c>
      <c r="E6" s="24">
        <f>ABS(C6-D6)</f>
        <v/>
      </c>
      <c r="F6" s="24">
        <f>IF(E6&lt;0.0000000001,"YES","NO")</f>
        <v/>
      </c>
    </row>
    <row r="7">
      <c r="A7" s="24" t="inlineStr">
        <is>
          <t>G1</t>
        </is>
      </c>
      <c r="B7" s="24" t="n">
        <v>0.13757844653</v>
      </c>
      <c r="C7" s="24">
        <f>1/B7</f>
        <v/>
      </c>
      <c r="D7" s="24" t="n">
        <v>7.268580400651221</v>
      </c>
      <c r="E7" s="24">
        <f>ABS(C7-D7)</f>
        <v/>
      </c>
      <c r="F7" s="24">
        <f>IF(E7&lt;0.0000000001,"YES","NO")</f>
        <v/>
      </c>
    </row>
    <row r="8">
      <c r="A8" s="24" t="inlineStr">
        <is>
          <t>G2</t>
        </is>
      </c>
      <c r="B8" s="24" t="n">
        <v>0.079911417241</v>
      </c>
      <c r="C8" s="24">
        <f>1/B8</f>
        <v/>
      </c>
      <c r="D8" s="24" t="n">
        <v>12.51385639906949</v>
      </c>
      <c r="E8" s="24">
        <f>ABS(C8-D8)</f>
        <v/>
      </c>
      <c r="F8" s="24">
        <f>IF(E8&lt;0.0000000001,"YES","NO")</f>
        <v/>
      </c>
    </row>
    <row r="9">
      <c r="A9" s="24" t="inlineStr">
        <is>
          <t>G3</t>
        </is>
      </c>
      <c r="B9" s="24" t="n">
        <v>0.043225367441</v>
      </c>
      <c r="C9" s="24">
        <f>1/B9</f>
        <v/>
      </c>
      <c r="D9" s="24" t="n">
        <v>23.13456331782348</v>
      </c>
      <c r="E9" s="24">
        <f>ABS(C9-D9)</f>
        <v/>
      </c>
      <c r="F9" s="24">
        <f>IF(E9&lt;0.0000000001,"YES","NO")</f>
        <v/>
      </c>
    </row>
    <row r="10">
      <c r="A10" s="24" t="inlineStr">
        <is>
          <t>G4</t>
        </is>
      </c>
      <c r="B10" s="24" t="n">
        <v>0.022564403969</v>
      </c>
      <c r="C10" s="24">
        <f>1/B10</f>
        <v/>
      </c>
      <c r="D10" s="24" t="n">
        <v>44.31758983635665</v>
      </c>
      <c r="E10" s="24">
        <f>ABS(C10-D10)</f>
        <v/>
      </c>
      <c r="F10" s="24">
        <f>IF(E10&lt;0.0000000001,"YES","NO")</f>
        <v/>
      </c>
    </row>
    <row r="13">
      <c r="A13" s="27" t="inlineStr">
        <is>
          <t>G3 boundary check (sigma -&gt; lambda = sigma^2)</t>
        </is>
      </c>
    </row>
    <row r="14">
      <c r="A14" s="23" t="inlineStr">
        <is>
          <t>Quantity</t>
        </is>
      </c>
      <c r="B14" s="23" t="inlineStr">
        <is>
          <t>sigma (given)</t>
        </is>
      </c>
      <c r="C14" s="23" t="inlineStr">
        <is>
          <t>sigma^2 (formula)</t>
        </is>
      </c>
      <c r="D14" s="23" t="inlineStr">
        <is>
          <t>lambda (given)</t>
        </is>
      </c>
      <c r="E14" s="23" t="inlineStr">
        <is>
          <t>abs diff</t>
        </is>
      </c>
    </row>
    <row r="15">
      <c r="A15" s="24" t="inlineStr">
        <is>
          <t>sigma16(G3)</t>
        </is>
      </c>
      <c r="B15" s="24" t="n">
        <v>2.828427124746192</v>
      </c>
      <c r="C15" s="24">
        <f>B15^2</f>
        <v/>
      </c>
      <c r="D15" s="24" t="n">
        <v>8.000000000000011</v>
      </c>
      <c r="E15" s="24">
        <f>ABS(C15-D15)</f>
        <v/>
      </c>
    </row>
    <row r="16">
      <c r="A16" s="24" t="inlineStr">
        <is>
          <t>sigma17(G3)</t>
        </is>
      </c>
      <c r="B16" s="24" t="n">
        <v>2.849152618684595</v>
      </c>
      <c r="C16" s="24">
        <f>B16^2</f>
        <v/>
      </c>
      <c r="D16" s="24" t="n">
        <v>8.117670644557284</v>
      </c>
      <c r="E16" s="24">
        <f>ABS(C16-D16)</f>
        <v/>
      </c>
    </row>
    <row r="18">
      <c r="A18" s="25" t="inlineStr">
        <is>
          <t>Delta_sigma(G3) = sigma17 - sigma16</t>
        </is>
      </c>
      <c r="B18">
        <f>B16-B15</f>
        <v/>
      </c>
      <c r="C18" t="inlineStr">
        <is>
          <t>given:</t>
        </is>
      </c>
      <c r="D18" t="n">
        <v>0.020725493938403</v>
      </c>
    </row>
    <row r="20">
      <c r="A20" s="27" t="inlineStr">
        <is>
          <t>G4 degenerate boundary check</t>
        </is>
      </c>
    </row>
    <row r="21">
      <c r="A21" t="inlineStr">
        <is>
          <t>sigma16=sigma17 (G4)</t>
        </is>
      </c>
      <c r="B21" t="n">
        <v>3.464101615137755</v>
      </c>
      <c r="C21">
        <f>B21^2</f>
        <v/>
      </c>
    </row>
    <row r="23">
      <c r="A23" s="27" t="inlineStr">
        <is>
          <t>C-004B ordering test: lambda16 &lt; lambda17 &lt; lambda_c(G3) ?</t>
        </is>
      </c>
    </row>
    <row r="24">
      <c r="A24">
        <f>AND(D15&lt;D16, D16&lt;D9)</f>
        <v/>
      </c>
      <c r="B24" s="22" t="inlineStr">
        <is>
          <t>TRUE =&gt; C-004B remains FALSIFIED FOR 32-BOUNDARY COMPATIBILITY (canonical lambda_c lies above the G3 boundary interval).</t>
        </is>
      </c>
    </row>
  </sheetData>
  <mergeCells count="1">
    <mergeCell ref="B24:F24"/>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26" customWidth="1" min="1" max="1"/>
    <col width="46" customWidth="1" min="2" max="2"/>
    <col width="26" customWidth="1" min="3" max="3"/>
    <col width="40" customWidth="1" min="4" max="4"/>
    <col width="34" customWidth="1" min="5" max="5"/>
    <col width="34" customWidth="1" min="6" max="6"/>
    <col width="34" customWidth="1" min="7" max="7"/>
    <col width="30" customWidth="1" min="8" max="8"/>
    <col width="40" customWidth="1" min="9" max="9"/>
  </cols>
  <sheetData>
    <row r="1">
      <c r="A1" s="21" t="inlineStr">
        <is>
          <t>THRESHOLD / SELECTOR CANDIDATE TABLE (Section 8)</t>
        </is>
      </c>
    </row>
    <row r="2">
      <c r="A2" s="22" t="inlineStr">
        <is>
          <t>Every threshold construction with an explicit source-registered definition and numeric instantiation, found across the four workbooks.</t>
        </is>
      </c>
    </row>
    <row r="4">
      <c r="A4" s="23" t="inlineStr">
        <is>
          <t>Candidate</t>
        </is>
      </c>
      <c r="B4" s="23" t="inlineStr">
        <is>
          <t>Exact source definition</t>
        </is>
      </c>
      <c r="C4" s="23" t="inlineStr">
        <is>
          <t>Dependencies</t>
        </is>
      </c>
      <c r="D4" s="23" t="inlineStr">
        <is>
          <t>Numeric values G0..G4</t>
        </is>
      </c>
      <c r="E4" s="23" t="inlineStr">
        <is>
          <t>P_H</t>
        </is>
      </c>
      <c r="F4" s="23" t="inlineStr">
        <is>
          <t>N_H</t>
        </is>
      </c>
      <c r="G4" s="23" t="inlineStr">
        <is>
          <t>G3 selected?</t>
        </is>
      </c>
      <c r="H4" s="23" t="inlineStr">
        <is>
          <t>Target-independent?</t>
        </is>
      </c>
      <c r="I4" s="23" t="inlineStr">
        <is>
          <t>Status</t>
        </is>
      </c>
    </row>
    <row r="5">
      <c r="A5" s="24" t="inlineStr">
        <is>
          <t>lambda_c = 1/t_H</t>
        </is>
      </c>
      <c r="B5" s="24" t="inlineStr">
        <is>
          <t>ENG-007/ENG-008: p_A(t_H)=1/2 ; lambda_c=1/t_H (Calculation Engine, 40)</t>
        </is>
      </c>
      <c r="C5" s="24" t="inlineStr">
        <is>
          <t>positive spectrum via p_A(t)</t>
        </is>
      </c>
      <c r="D5" s="24" t="inlineStr">
        <is>
          <t>5.770780163555398; 7.268580400651221; 12.513856399069492; 23.134563317823480; 44.317589836356648</t>
        </is>
      </c>
      <c r="E5" s="24" t="inlineStr">
        <is>
          <t>1_[lambda_c,infinity)(L) -- rank not evaluable, full spectrum absent</t>
        </is>
      </c>
      <c r="F5" s="24" t="inlineStr">
        <is>
          <t>NOT EVALUABLE (missing lambda_max(L))</t>
        </is>
      </c>
      <c r="G5" s="24" t="inlineStr">
        <is>
          <t>NO -- does not select the G3 boundary [8, 8.1177)</t>
        </is>
      </c>
      <c r="H5" s="24" t="inlineStr">
        <is>
          <t>YES (verified in 49 Arithmetic Verification: no N_H/H_F/V_CKM/D_F/... dependency in the formula)</t>
        </is>
      </c>
      <c r="I5" s="24" t="inlineStr">
        <is>
          <t>CALCULATED / C-004B = FALSIFIED FOR 32-BOUNDARY COMPATIBILITY</t>
        </is>
      </c>
    </row>
    <row r="6">
      <c r="A6" s="24" t="inlineStr">
        <is>
          <t>P_boundary = 1_[lambda16,lambda17)(L_3)</t>
        </is>
      </c>
      <c r="B6" s="24" t="inlineStr">
        <is>
          <t>Independently reported G3 spectral boundary (Result Registry RES-G3-boundary)</t>
        </is>
      </c>
      <c r="C6" s="24" t="inlineStr">
        <is>
          <t>sigma16(G3), sigma17(G3) only</t>
        </is>
      </c>
      <c r="D6" s="24" t="inlineStr">
        <is>
          <t>[8.000000000000011, 8.117670644557285) for G3 only; degenerate (empty interval) for G4</t>
        </is>
      </c>
      <c r="E6" s="24" t="inlineStr">
        <is>
          <t>distinct object from P_H -- NOT renamed P_H per governing instructions Section 7</t>
        </is>
      </c>
      <c r="F6" s="24" t="inlineStr">
        <is>
          <t>NOT EVALUABLE (rank requires the full G3 eigenbasis/eigenvector multiplicities, which are absent)</t>
        </is>
      </c>
      <c r="G6" s="24" t="inlineStr">
        <is>
          <t>Isolated cluster confirmed for G3 by sigma16&lt;sigma17, but rank(P_boundary) cannot be certified</t>
        </is>
      </c>
      <c r="H6" s="24" t="inlineStr">
        <is>
          <t>YES (interval derived only from G3's own spectrum, no downstream object entered)</t>
        </is>
      </c>
      <c r="I6" s="24" t="inlineStr">
        <is>
          <t>CALCULATED (existence of isolated boundary) / rank OPEN (missing full spectrum)</t>
        </is>
      </c>
    </row>
    <row r="7">
      <c r="A7" s="24" t="inlineStr">
        <is>
          <t>delta_spec, Pi (persistence subspace), R=exp(-beta L), heat kernel Z=Tr(e^{-beta L})</t>
        </is>
      </c>
      <c r="B7" s="24" t="inlineStr">
        <is>
          <t>Named as formula labels only (Calculation Engine ENG-019 for Z; Bridge Registry BR-006/BR-007 for heat semigroup/diffusion distance; Translation Registry TR-008 for Pi)</t>
        </is>
      </c>
      <c r="C7" s="24" t="inlineStr">
        <is>
          <t>L, beta, or t</t>
        </is>
      </c>
      <c r="D7" s="24" t="inlineStr">
        <is>
          <t>NONE -- no shell-indexed numeric instantiation exists in any source workbook</t>
        </is>
      </c>
      <c r="E7" s="24" t="inlineStr">
        <is>
          <t>n/a</t>
        </is>
      </c>
      <c r="F7" s="24" t="inlineStr">
        <is>
          <t>n/a</t>
        </is>
      </c>
      <c r="G7" s="24" t="inlineStr">
        <is>
          <t>n/a</t>
        </is>
      </c>
      <c r="H7" s="24" t="inlineStr">
        <is>
          <t>n/a</t>
        </is>
      </c>
      <c r="I7" s="24" t="inlineStr">
        <is>
          <t>OPEN -- formula exists, no G0..G4 numeric values recorded anywhere</t>
        </is>
      </c>
    </row>
    <row r="10" ht="45" customHeight="1">
      <c r="A10" s="22" t="inlineStr">
        <is>
          <t>Both source-supported formulations above are preserved (per Section 8: do not silently select the more convenient one). They measure different objects (a target-independent global threshold vs. an independently observed local spectral gap) and are NOT in contradiction; no equivalence/falsification test between them is admissible without the missing full spectra.</t>
        </is>
      </c>
    </row>
  </sheetData>
  <mergeCells count="1">
    <mergeCell ref="A10:I10"/>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6" customWidth="1" min="1" max="1"/>
    <col width="18" customWidth="1" min="2" max="2"/>
    <col width="60" customWidth="1" min="3" max="3"/>
    <col width="40" customWidth="1" min="4" max="4"/>
  </cols>
  <sheetData>
    <row r="1">
      <c r="A1" s="21" t="inlineStr">
        <is>
          <t>OPEN-020E.2 -- SHELL UNIQUENESS AUDIT</t>
        </is>
      </c>
    </row>
    <row r="2">
      <c r="A2" s="22" t="inlineStr">
        <is>
          <t>Test of Pi_0(G_k) = [delta_spec(G_k) - lambda_c,k] / sigma_k and argmax_k Pi_0(G_k) = 3.</t>
        </is>
      </c>
    </row>
    <row r="4">
      <c r="A4" s="23" t="inlineStr">
        <is>
          <t>Required object</t>
        </is>
      </c>
      <c r="B4" s="23" t="inlineStr">
        <is>
          <t>Present in source?</t>
        </is>
      </c>
      <c r="C4" s="23" t="inlineStr">
        <is>
          <t>Value/location</t>
        </is>
      </c>
      <c r="D4" s="23" t="inlineStr">
        <is>
          <t>Consequence</t>
        </is>
      </c>
    </row>
    <row r="5">
      <c r="A5" s="24" t="inlineStr">
        <is>
          <t>delta_spec(G_k), k=0..4</t>
        </is>
      </c>
      <c r="B5" s="24" t="inlineStr">
        <is>
          <t>NO</t>
        </is>
      </c>
      <c r="C5" s="24" t="inlineStr">
        <is>
          <t>Not found as a shell-indexed numeric quantity in any workbook (only named as a label in the candidate table, sheet 50)</t>
        </is>
      </c>
      <c r="D5" s="24" t="inlineStr">
        <is>
          <t>Pi_0 numerator undefined</t>
        </is>
      </c>
    </row>
    <row r="6">
      <c r="A6" s="24" t="inlineStr">
        <is>
          <t>lambda_c,k, k=0..4</t>
        </is>
      </c>
      <c r="B6" s="24" t="inlineStr">
        <is>
          <t>YES</t>
        </is>
      </c>
      <c r="C6" s="24" t="inlineStr">
        <is>
          <t>sheet 39 Calculation Inputs / this workbook sheet 49</t>
        </is>
      </c>
      <c r="D6" s="24" t="inlineStr">
        <is>
          <t>Pi_0 numerator partially available</t>
        </is>
      </c>
    </row>
    <row r="7">
      <c r="A7" s="24" t="inlineStr">
        <is>
          <t>sigma_k (normalization), k=0..4</t>
        </is>
      </c>
      <c r="B7" s="24" t="inlineStr">
        <is>
          <t>NO</t>
        </is>
      </c>
      <c r="C7" s="24" t="inlineStr">
        <is>
          <t>No source registry entry defines this scale factor per the governing prompt's own instruction: 'If sigma_k is unavailable: DO NOT INVENT IT.'</t>
        </is>
      </c>
      <c r="D7" s="24" t="inlineStr">
        <is>
          <t>Pi_0 denominator undefined; sigma_k NOT invented here</t>
        </is>
      </c>
    </row>
    <row r="9">
      <c r="A9" s="27" t="inlineStr">
        <is>
          <t>sign(Pi_0) determinable without magnitude?</t>
        </is>
      </c>
    </row>
    <row r="10" ht="45" customHeight="1">
      <c r="A10" s="24" t="inlineStr">
        <is>
          <t>NO. Pi_0's numerator requires delta_spec(G_k), which is entirely absent from the source material (not merely unscaled). Sign cannot be determined from an undefined numerator regardless of the denominator's availability.</t>
        </is>
      </c>
    </row>
    <row r="12">
      <c r="A12" s="28" t="inlineStr">
        <is>
          <t>OPEN-020E.2 OUTCOME</t>
        </is>
      </c>
    </row>
    <row r="13" ht="45" customHeight="1">
      <c r="A13" s="24" t="inlineStr">
        <is>
          <t>D. Pi_0 cannot be evaluated because an upstream quantity is missing (delta_spec(G_k) is undefined for all k, and sigma_k is undefined for all k). argmax_k Pi_0(G_k) = 3 is NOT tested; A is not forced.</t>
        </is>
      </c>
    </row>
  </sheetData>
  <mergeCells count="2">
    <mergeCell ref="A10:D10"/>
    <mergeCell ref="A13:D13"/>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8" customWidth="1" min="1" max="1"/>
    <col width="46" customWidth="1" min="2" max="2"/>
    <col width="30" customWidth="1" min="3" max="3"/>
    <col width="60" customWidth="1" min="4" max="4"/>
    <col width="46" customWidth="1" min="5" max="5"/>
  </cols>
  <sheetData>
    <row r="1">
      <c r="A1" s="21" t="inlineStr">
        <is>
          <t>FALSIFICATION LEDGER</t>
        </is>
      </c>
    </row>
    <row r="2">
      <c r="A2" s="22" t="inlineStr">
        <is>
          <t>Every failed candidate and the exact reason for failure. Nothing here is deleted or promoted.</t>
        </is>
      </c>
    </row>
    <row r="4">
      <c r="A4" s="23" t="inlineStr">
        <is>
          <t>Candidate</t>
        </is>
      </c>
      <c r="B4" s="23" t="inlineStr">
        <is>
          <t>Claim tested</t>
        </is>
      </c>
      <c r="C4" s="23" t="inlineStr">
        <is>
          <t>Result</t>
        </is>
      </c>
      <c r="D4" s="23" t="inlineStr">
        <is>
          <t>Exact reason</t>
        </is>
      </c>
      <c r="E4" s="23" t="inlineStr">
        <is>
          <t>Status</t>
        </is>
      </c>
    </row>
    <row r="5">
      <c r="A5" s="24" t="inlineStr">
        <is>
          <t>lambda_c = 1/t_H as a 32-boundary selector</t>
        </is>
      </c>
      <c r="B5" s="24" t="inlineStr">
        <is>
          <t>P_H = 1_[lambda_c,infinity)(L_3) selects the observed G3 isolated boundary [lambda16,lambda17)</t>
        </is>
      </c>
      <c r="C5" s="24" t="inlineStr">
        <is>
          <t>FAILED</t>
        </is>
      </c>
      <c r="D5" s="24" t="inlineStr">
        <is>
          <t>lambda_c(G3)=23.134563317823480 &gt;&gt; lambda17(G3)=8.117670644557285; the threshold lies strictly above the entire boundary interval, so P_H cannot equal or contain P_boundary.</t>
        </is>
      </c>
      <c r="E5" s="24" t="inlineStr">
        <is>
          <t>C-004B = FALSIFIED FOR 32-BOUNDARY COMPATIBILITY (carried forward from v1.0, independently re-confirmed by formula in sheet 49)</t>
        </is>
      </c>
    </row>
    <row r="6">
      <c r="A6" s="24" t="inlineStr">
        <is>
          <t>N_k=2^(k+2)-2, E_k=2^(2k+1)-1 as the canonical ARBS construction rule</t>
        </is>
      </c>
      <c r="B6" s="24" t="inlineStr">
        <is>
          <t>This closed form is THE source-registered recursive construction rule for ARBS shells</t>
        </is>
      </c>
      <c r="C6" s="24" t="inlineStr">
        <is>
          <t>NOT ADMITTED (not a failure of the arithmetic, a failure of provenance)</t>
        </is>
      </c>
      <c r="D6" s="24" t="inlineStr">
        <is>
          <t>The formula reproduces all 5 reported (N,E) checkpoints exactly, but no source workbook attributes this or any other explicit rule to ARBS-FULL-SPEC-001; adopting it here would be inventing the missing construction rule, which Section 5/20 explicitly forbids.</t>
        </is>
      </c>
      <c r="E6" s="24" t="inlineStr">
        <is>
          <t>OPEN / PROPOSED -- quarantined observation only, not used in any downstream calculation</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2" customWidth="1" min="1" max="1"/>
    <col width="60" customWidth="1" min="2" max="2"/>
    <col width="46" customWidth="1" min="3" max="3"/>
    <col width="60" customWidth="1" min="4" max="4"/>
  </cols>
  <sheetData>
    <row r="1">
      <c r="A1" s="21" t="inlineStr">
        <is>
          <t>PROOF OBLIGATION LEDGER</t>
        </is>
      </c>
    </row>
    <row r="2">
      <c r="A2" s="22" t="inlineStr">
        <is>
          <t>Unresolved mathematical statements blocking further closure, in dependency order.</t>
        </is>
      </c>
    </row>
    <row r="4">
      <c r="A4" s="23" t="inlineStr">
        <is>
          <t>Obligation ID</t>
        </is>
      </c>
      <c r="B4" s="23" t="inlineStr">
        <is>
          <t>Statement</t>
        </is>
      </c>
      <c r="C4" s="23" t="inlineStr">
        <is>
          <t>Blocks</t>
        </is>
      </c>
      <c r="D4" s="23" t="inlineStr">
        <is>
          <t>Blocking reason</t>
        </is>
      </c>
    </row>
    <row r="5">
      <c r="A5" s="24" t="inlineStr">
        <is>
          <t>OBL-ARBS-CONSTRUCT</t>
        </is>
      </c>
      <c r="B5" s="24" t="inlineStr">
        <is>
          <t>Recover or derive the canonical ARBS recursive graph construction rule (ARBS-FULL-SPEC-001): an explicit, target-independent algorithm producing the adjacency/incidence data of G0..G4.</t>
        </is>
      </c>
      <c r="C5" s="24" t="inlineStr">
        <is>
          <t>Full spectra {lambda_k,j}; C-004B N_H(G_k) computation; rank(P_boundary); OPEN-020E.2 sigma_k, delta_spec; G* uniqueness theorem; everything in Sections 9-15 of the governing instructions.</t>
        </is>
      </c>
      <c r="D5" s="24" t="inlineStr">
        <is>
          <t>No adjacency matrix, edge list, or construction algorithm exists in any of the four supplied workbooks or the repository (see sheet 48). Only 5 scalar (N,E) checkpoints and 4 scalar spectral checkpoints per relevant shell are present.</t>
        </is>
      </c>
    </row>
    <row r="6">
      <c r="A6" s="24" t="inlineStr">
        <is>
          <t>OBL-DELTA-SPEC</t>
        </is>
      </c>
      <c r="B6" s="24" t="inlineStr">
        <is>
          <t>Define delta_spec(G_k) per an actual source registry entry (none currently exists).</t>
        </is>
      </c>
      <c r="C6" s="24" t="inlineStr">
        <is>
          <t>OPEN-020E.2 Pi_0</t>
        </is>
      </c>
      <c r="D6" s="24" t="inlineStr">
        <is>
          <t>No shell-indexed numeric or symbolic definition of delta_spec found anywhere in source material.</t>
        </is>
      </c>
    </row>
    <row r="7">
      <c r="A7" s="24" t="inlineStr">
        <is>
          <t>OBL-SIGMA-K</t>
        </is>
      </c>
      <c r="B7" s="24" t="inlineStr">
        <is>
          <t>Define the sigma_k normalization used in Pi_0 = [delta_spec - lambda_c] / sigma_k.</t>
        </is>
      </c>
      <c r="C7" s="24" t="inlineStr">
        <is>
          <t>OPEN-020E.2 Pi_0</t>
        </is>
      </c>
      <c r="D7" s="24" t="inlineStr">
        <is>
          <t>Not defined in source; explicitly forbidden to invent per governing instructions Section 9.</t>
        </is>
      </c>
    </row>
    <row r="8">
      <c r="A8" s="24" t="inlineStr">
        <is>
          <t>OBL-GSTAR-SELECTOR</t>
        </is>
      </c>
      <c r="B8" s="24" t="inlineStr">
        <is>
          <t>Prove a substrate-only (target-independent) uniqueness theorem selecting G* among G0..G4.</t>
        </is>
      </c>
      <c r="C8" s="24" t="inlineStr">
        <is>
          <t>G* promotion (Section 10); P_H^(32) construction; OPEN-021A-D; finite NCG closure; flavor; continuum; scale.</t>
        </is>
      </c>
      <c r="D8" s="24" t="inlineStr">
        <is>
          <t>No such theorem is present in the source registries; BR-026 (horizon selection) is explicitly recorded as OPEN in '35 Bridge Registry' with 'Selector not generated.'</t>
        </is>
      </c>
    </row>
    <row r="9">
      <c r="A9" s="24" t="inlineStr">
        <is>
          <t>BR-026 (carried from source)</t>
        </is>
      </c>
      <c r="B9" s="24" t="inlineStr">
        <is>
          <t>Horizon selection P_H^2=P_H, P_H^dagger=P_H with a generating selector.</t>
        </is>
      </c>
      <c r="C9" s="24" t="inlineStr">
        <is>
          <t>same as OBL-GSTAR-SELECTOR</t>
        </is>
      </c>
      <c r="D9" s="24" t="inlineStr">
        <is>
          <t>Recorded OPEN in source Bridge Registry; not resolved by this run.</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6" customWidth="1" min="1" max="1"/>
    <col width="50" customWidth="1" min="2" max="2"/>
    <col width="40" customWidth="1" min="3" max="3"/>
    <col width="55" customWidth="1" min="4" max="4"/>
  </cols>
  <sheetData>
    <row r="1">
      <c r="A1" s="21" t="inlineStr">
        <is>
          <t>CLOSURE MATRIX</t>
        </is>
      </c>
    </row>
    <row r="2">
      <c r="A2" s="22" t="inlineStr">
        <is>
          <t>Target | Result | Status | Dependencies</t>
        </is>
      </c>
    </row>
    <row r="4">
      <c r="A4" s="23" t="inlineStr">
        <is>
          <t>Target</t>
        </is>
      </c>
      <c r="B4" s="23" t="inlineStr">
        <is>
          <t>Result</t>
        </is>
      </c>
      <c r="C4" s="23" t="inlineStr">
        <is>
          <t>Status</t>
        </is>
      </c>
      <c r="D4" s="23" t="inlineStr">
        <is>
          <t>Dependencies</t>
        </is>
      </c>
    </row>
    <row r="5">
      <c r="A5" s="24" t="inlineStr">
        <is>
          <t>Checkpoint arithmetic self-consistency (sigma^2=lambda, lambda_c=1/t_H, ordering)</t>
        </is>
      </c>
      <c r="B5" s="24" t="inlineStr">
        <is>
          <t>All checks pass at double-precision tolerance (&lt;1e-10); see sheet 49</t>
        </is>
      </c>
      <c r="C5" s="24" t="inlineStr">
        <is>
          <t>VERIFIED</t>
        </is>
      </c>
      <c r="D5" s="24" t="inlineStr">
        <is>
          <t>Existing checkpoint scalars in source sheet 39</t>
        </is>
      </c>
    </row>
    <row r="6">
      <c r="A6" s="24" t="inlineStr">
        <is>
          <t>C-004B (canonical persistence threshold selects G3 32-boundary)</t>
        </is>
      </c>
      <c r="B6" s="24" t="inlineStr">
        <is>
          <t>lambda_c(G3)=23.1346 &gt; lambda17(G3)=8.1177; threshold does not select the boundary</t>
        </is>
      </c>
      <c r="C6" s="24" t="inlineStr">
        <is>
          <t>FALSIFIED FOR 32-BOUNDARY COMPATIBILITY</t>
        </is>
      </c>
      <c r="D6" s="24" t="inlineStr">
        <is>
          <t>lambda_c=1/t_H formula; G3 boundary checkpoints</t>
        </is>
      </c>
    </row>
    <row r="7">
      <c r="A7" s="24" t="inlineStr">
        <is>
          <t>Complete ARBS spectra {lambda_k,j}, k=0..4</t>
        </is>
      </c>
      <c r="B7" s="24" t="inlineStr">
        <is>
          <t>Cannot be reconstructed</t>
        </is>
      </c>
      <c r="C7" s="24" t="inlineStr">
        <is>
          <t>OPEN -- missing upstream datum</t>
        </is>
      </c>
      <c r="D7" s="24" t="inlineStr">
        <is>
          <t>OBL-ARBS-CONSTRUCT (canonical graph construction rule, absent from all source material)</t>
        </is>
      </c>
    </row>
    <row r="8">
      <c r="A8" s="24" t="inlineStr">
        <is>
          <t>N_H(G0)..N_H(G4)</t>
        </is>
      </c>
      <c r="B8" s="24" t="inlineStr">
        <is>
          <t>Cannot be calculated</t>
        </is>
      </c>
      <c r="C8" s="24" t="inlineStr">
        <is>
          <t>OPEN</t>
        </is>
      </c>
      <c r="D8" s="24" t="inlineStr">
        <is>
          <t>Requires complete spectra</t>
        </is>
      </c>
    </row>
    <row r="9">
      <c r="A9" s="24" t="inlineStr">
        <is>
          <t>rank(P_boundary) for G3</t>
        </is>
      </c>
      <c r="B9" s="24" t="inlineStr">
        <is>
          <t>Cannot be certified</t>
        </is>
      </c>
      <c r="C9" s="24" t="inlineStr">
        <is>
          <t>OPEN</t>
        </is>
      </c>
      <c r="D9" s="24" t="inlineStr">
        <is>
          <t>Requires complete G3 eigenbasis/eigenvector multiplicities</t>
        </is>
      </c>
    </row>
    <row r="10">
      <c r="A10" s="24" t="inlineStr">
        <is>
          <t>OPEN-020E.2 Pi_0(G_k) / argmax test</t>
        </is>
      </c>
      <c r="B10" s="24" t="inlineStr">
        <is>
          <t>Outcome D -- cannot be evaluated</t>
        </is>
      </c>
      <c r="C10" s="24" t="inlineStr">
        <is>
          <t>OPEN</t>
        </is>
      </c>
      <c r="D10" s="24" t="inlineStr">
        <is>
          <t>delta_spec(G_k) and sigma_k both undefined in source (OBL-DELTA-SPEC, OBL-SIGMA-K)</t>
        </is>
      </c>
    </row>
    <row r="11">
      <c r="A11" s="24" t="inlineStr">
        <is>
          <t>G* promotion (G*=G3)</t>
        </is>
      </c>
      <c r="B11" s="24" t="inlineStr">
        <is>
          <t>Not promoted</t>
        </is>
      </c>
      <c r="C11" s="24" t="inlineStr">
        <is>
          <t>G* UNRESOLVED (G3 retained only as independently verified spectral candidate)</t>
        </is>
      </c>
      <c r="D11" s="24" t="inlineStr">
        <is>
          <t>OBL-GSTAR-SELECTOR unresolved; BR-026 open in source</t>
        </is>
      </c>
    </row>
    <row r="12">
      <c r="A12" s="24" t="inlineStr">
        <is>
          <t>P_H^(32), rank=32 certification</t>
        </is>
      </c>
      <c r="B12" s="24" t="inlineStr">
        <is>
          <t>Not attempted</t>
        </is>
      </c>
      <c r="C12" s="24" t="inlineStr">
        <is>
          <t>BLOCKED</t>
        </is>
      </c>
      <c r="D12" s="24" t="inlineStr">
        <is>
          <t>Requires G* derived + complete spectra</t>
        </is>
      </c>
    </row>
    <row r="13">
      <c r="A13" s="24" t="inlineStr">
        <is>
          <t>OPEN-021A..D, finite NCG closure (V2-CALC-025 etc.), flavor, continuum, scale closures</t>
        </is>
      </c>
      <c r="B13" s="24" t="inlineStr">
        <is>
          <t>Not attempted</t>
        </is>
      </c>
      <c r="C13" s="24" t="inlineStr">
        <is>
          <t>BLOCKED</t>
        </is>
      </c>
      <c r="D13" s="24" t="inlineStr">
        <is>
          <t>All strictly downstream of G* promotion per Section 1 dependency order; executing them would violate the governing ordering</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8" customWidth="1" min="1" max="1"/>
    <col width="60" customWidth="1" min="2" max="2"/>
  </cols>
  <sheetData>
    <row r="1">
      <c r="A1" s="21" t="inlineStr">
        <is>
          <t>CANONICAL DEPENDENCY CHAIN -- THIS CLOSURE RUN</t>
        </is>
      </c>
    </row>
    <row r="2">
      <c r="A2" s="22" t="inlineStr">
        <is>
          <t>Using the prec-relation (&lt;) exactly as supplied; state reached vs. blocked.</t>
        </is>
      </c>
    </row>
    <row r="4">
      <c r="A4" s="23" t="inlineStr">
        <is>
          <t>Step</t>
        </is>
      </c>
      <c r="B4" s="23" t="inlineStr">
        <is>
          <t>State this run</t>
        </is>
      </c>
    </row>
    <row r="5">
      <c r="A5" s="25" t="inlineStr">
        <is>
          <t>Gamma</t>
        </is>
      </c>
      <c r="B5" s="24" t="inlineStr">
        <is>
          <t>reached (source-certified, carried from v1.0)</t>
        </is>
      </c>
    </row>
    <row r="6">
      <c r="A6" s="25" t="inlineStr">
        <is>
          <t>-&gt; ARBS</t>
        </is>
      </c>
      <c r="B6" s="24" t="inlineStr">
        <is>
          <t>reached (checkpoint scalars only; full construction NOT reached)</t>
        </is>
      </c>
    </row>
    <row r="7">
      <c r="A7" s="25" t="inlineStr">
        <is>
          <t>-&gt; G_k structural checkpoints (N,E)</t>
        </is>
      </c>
      <c r="B7" s="24" t="inlineStr">
        <is>
          <t>reached / VERIFIED self-consistent, k=0..4</t>
        </is>
      </c>
    </row>
    <row r="8">
      <c r="A8" s="25" t="inlineStr">
        <is>
          <t>-&gt; Spec(L_k) -- COMPLETE spectra</t>
        </is>
      </c>
      <c r="B8" s="24" t="inlineStr">
        <is>
          <t>NOT REACHED -- OBL-ARBS-CONSTRUCT</t>
        </is>
      </c>
    </row>
    <row r="9">
      <c r="A9" s="25" t="inlineStr">
        <is>
          <t>-&gt; G* (shell selection)</t>
        </is>
      </c>
      <c r="B9" s="24" t="inlineStr">
        <is>
          <t>NOT REACHED -- unresolved, G3 remains CANDIDATE only</t>
        </is>
      </c>
    </row>
    <row r="10">
      <c r="A10" s="25" t="inlineStr">
        <is>
          <t>-&gt; P_H^(32) / rank=32 certification</t>
        </is>
      </c>
      <c r="B10" s="24" t="inlineStr">
        <is>
          <t>NOT REACHED</t>
        </is>
      </c>
    </row>
    <row r="11">
      <c r="A11" s="25" t="inlineStr">
        <is>
          <t>-&gt; Finite NCG closure (Phi_H, KO=0/4, Poincare, orientability)</t>
        </is>
      </c>
      <c r="B11" s="24" t="inlineStr">
        <is>
          <t>NOT REACHED</t>
        </is>
      </c>
    </row>
    <row r="12">
      <c r="A12" s="25" t="inlineStr">
        <is>
          <t>-&gt; Flavor (Y_f, V_CKM, U_PMNS)</t>
        </is>
      </c>
      <c r="B12" s="24" t="inlineStr">
        <is>
          <t>NOT REACHED</t>
        </is>
      </c>
    </row>
    <row r="13">
      <c r="A13" s="25" t="inlineStr">
        <is>
          <t>-&gt; Continuum closure (g_munu, R_munu, G_munu)</t>
        </is>
      </c>
      <c r="B13" s="24" t="inlineStr">
        <is>
          <t>NOT REACHED</t>
        </is>
      </c>
    </row>
    <row r="14">
      <c r="A14" s="25" t="inlineStr">
        <is>
          <t>-&gt; Absolute scale (b_0, Lambda_trans, Xi_UOC)</t>
        </is>
      </c>
      <c r="B14" s="24" t="inlineStr">
        <is>
          <t>NOT REACHED</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1" t="inlineStr">
        <is>
          <t>EXACTLY ONE NEXT UNRESOLVED UPSTREAM DEPENDENCY</t>
        </is>
      </c>
    </row>
    <row r="2">
      <c r="A2" s="22" t="inlineStr"/>
    </row>
    <row r="4" ht="90" customHeight="1">
      <c r="A4" s="29" t="inlineStr">
        <is>
          <t>Recover or derive the canonical ARBS recursive graph construction rule (ARBS-FULL-SPEC-001): the explicit, target-independent algorithm that produces the adjacency/incidence data of G0, G1, G2, G3, G4, sufficient to build L = D - A and B with B B^T = L directly from the construction -- without reference to the 32-state target, the reported (N,E) checkpoints, or the reported sigma16/sigma17 checkpoints.</t>
        </is>
      </c>
    </row>
    <row r="6" ht="60" customHeight="1">
      <c r="A6" s="24" t="inlineStr">
        <is>
          <t>Everything downstream of this dependency (complete spectra, N_H(G_k), rank(P_boundary), OPEN-020E.2, G* promotion, P_H^(32), finite NCG closure, flavor, continuum, and absolute-scale closure) is blocked until it is resolved. This is the sole STOP point identified by this run.</t>
        </is>
      </c>
    </row>
  </sheetData>
  <mergeCells count="2">
    <mergeCell ref="A6:E6"/>
    <mergeCell ref="A4:E4"/>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16" customWidth="1" min="2" max="2"/>
    <col width="12" customWidth="1" min="3" max="3"/>
    <col width="22" customWidth="1" min="4" max="4"/>
  </cols>
  <sheetData>
    <row r="1">
      <c r="A1" s="21" t="inlineStr">
        <is>
          <t>ARBS-CONSTRUCTION-001 -- SOURCE-SPECIFIED GRAPH CONSTRUCTION</t>
        </is>
      </c>
    </row>
    <row r="2">
      <c r="A2" s="22" t="inlineStr">
        <is>
          <t>S_k = L_k sqcup R_k, |L_k|=|R_k|=2^k. Intra-shell: G[S_k]=K_{2^k,2^k}. Inter-shell: E(S_{k-1},S_k)=R_{k-1} x L_k. G_n = union_{k=0}^n S_k. Provenance note: this exact rule was supplied verbatim as directive text in this task; an independent search of the newly supplied 9-workbook + whitepaper corpus found no literal occurrence of it under ARBS-DEF-001/ARBS-SCALE-001-003 (those define ARBS as an Object/Operator-node bipartite typed-dependency graph, a different object). The corpus's own internal 'Audit and Recommended Revisions' document states the shell-hierarchy replacement rule f(S_m) 'is asserted but never specified anywhere in the eight-document corpus (confirmed by exhaustive keyword and functional search)' and that the source's own tested selector 'converges to near-complete graph, not the claimed Recursive Bipartite Shell Graph.' Despite this documentation gap, the rule is fully specified in this run's directive and is executed exactly as given below; its numerical output is independently and decisively confirmed against 8 checkpoint values (see sheet 58) to double-precision accuracy, which is the actual evidence for its correctness, not the corpus citation.</t>
        </is>
      </c>
    </row>
    <row r="5">
      <c r="A5" s="23" t="inlineStr">
        <is>
          <t>Shell</t>
        </is>
      </c>
      <c r="B5" s="23" t="inlineStr">
        <is>
          <t>N (vertices)</t>
        </is>
      </c>
      <c r="C5" s="23" t="inlineStr">
        <is>
          <t>E (edges)</t>
        </is>
      </c>
      <c r="D5" s="23" t="inlineStr">
        <is>
          <t>Status</t>
        </is>
      </c>
    </row>
    <row r="6">
      <c r="A6" s="24" t="inlineStr">
        <is>
          <t>G0</t>
        </is>
      </c>
      <c r="B6" s="24" t="n">
        <v>2</v>
      </c>
      <c r="C6" s="24" t="n">
        <v>1</v>
      </c>
      <c r="D6" s="24" t="inlineStr">
        <is>
          <t>DERIVED / VERIFIED</t>
        </is>
      </c>
    </row>
    <row r="7">
      <c r="A7" s="24" t="inlineStr">
        <is>
          <t>G1</t>
        </is>
      </c>
      <c r="B7" s="24" t="n">
        <v>6</v>
      </c>
      <c r="C7" s="24" t="n">
        <v>7</v>
      </c>
      <c r="D7" s="24" t="inlineStr">
        <is>
          <t>DERIVED / VERIFIED</t>
        </is>
      </c>
    </row>
    <row r="8">
      <c r="A8" s="24" t="inlineStr">
        <is>
          <t>G2</t>
        </is>
      </c>
      <c r="B8" s="24" t="n">
        <v>14</v>
      </c>
      <c r="C8" s="24" t="n">
        <v>31</v>
      </c>
      <c r="D8" s="24" t="inlineStr">
        <is>
          <t>DERIVED / VERIFIED</t>
        </is>
      </c>
    </row>
    <row r="9">
      <c r="A9" s="24" t="inlineStr">
        <is>
          <t>G3</t>
        </is>
      </c>
      <c r="B9" s="24" t="n">
        <v>30</v>
      </c>
      <c r="C9" s="24" t="n">
        <v>127</v>
      </c>
      <c r="D9" s="24" t="inlineStr">
        <is>
          <t>DERIVED / VERIFIED</t>
        </is>
      </c>
    </row>
    <row r="10">
      <c r="A10" s="24" t="inlineStr">
        <is>
          <t>G4</t>
        </is>
      </c>
      <c r="B10" s="24" t="n">
        <v>62</v>
      </c>
      <c r="C10" s="24" t="n">
        <v>511</v>
      </c>
      <c r="D10" s="24" t="inlineStr">
        <is>
          <t>DERIVED / VERIFIED</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cols>
    <col width="28" customWidth="1" min="1" max="1"/>
    <col width="22" customWidth="1" min="2" max="2"/>
    <col width="22" customWidth="1" min="3" max="3"/>
    <col width="16" customWidth="1" min="4" max="4"/>
    <col width="14"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21" t="inlineStr">
        <is>
          <t>SPECTRAL RECONSTRUCTION AUDIT -- P1-P11 + CHECKPOINT COMPARISON</t>
        </is>
      </c>
    </row>
    <row r="2">
      <c r="A2" s="22" t="inlineStr">
        <is>
          <t>Every check computed directly from the constructed graphs (build_arbs.py); PASS/FAIL only, no qualitative judgments.</t>
        </is>
      </c>
    </row>
    <row r="5">
      <c r="A5" s="30" t="inlineStr">
        <is>
          <t>Proof obligations P1-P11 (per shell)</t>
        </is>
      </c>
    </row>
    <row r="6">
      <c r="A6" s="23" t="inlineStr">
        <is>
          <t>Shell</t>
        </is>
      </c>
      <c r="B6" s="23" t="inlineStr">
        <is>
          <t>P1_|Lk|=|Rk|=2^k</t>
        </is>
      </c>
      <c r="C6" s="23" t="inlineStr">
        <is>
          <t>P2_|V(Gn)|=2(2^(n+1)-1)</t>
        </is>
      </c>
      <c r="D6" s="23" t="inlineStr">
        <is>
          <t>P3_|Eintra(k)|=4^k</t>
        </is>
      </c>
      <c r="E6" s="23" t="inlineStr">
        <is>
          <t>P4_|Einter(k-1,k)|=2^(2k-1)</t>
        </is>
      </c>
      <c r="F6" s="23" t="inlineStr">
        <is>
          <t>P5_En=sum4^k+sum2^(2k-1)</t>
        </is>
      </c>
      <c r="G6" s="23" t="inlineStr">
        <is>
          <t>P6_Gn_bipartite</t>
        </is>
      </c>
      <c r="H6" s="23" t="inlineStr">
        <is>
          <t>P7_Gn_connected</t>
        </is>
      </c>
      <c r="I6" s="23" t="inlineStr">
        <is>
          <t>P8_L=D-A</t>
        </is>
      </c>
      <c r="J6" s="23" t="inlineStr">
        <is>
          <t>P9_L=BBt</t>
        </is>
      </c>
      <c r="K6" s="23" t="inlineStr">
        <is>
          <t>P10_DG2_block_structure</t>
        </is>
      </c>
      <c r="L6" s="23" t="inlineStr">
        <is>
          <t>P11_Spec(DG)\{0}=+-sqrt(Spec(L)\{0})</t>
        </is>
      </c>
    </row>
    <row r="7">
      <c r="A7" s="24" t="inlineStr">
        <is>
          <t>G0</t>
        </is>
      </c>
      <c r="B7" s="24" t="inlineStr">
        <is>
          <t>PASS (by construction, verified for all k&lt;=n)</t>
        </is>
      </c>
      <c r="C7" s="24" t="inlineStr">
        <is>
          <t>PASS</t>
        </is>
      </c>
      <c r="D7" s="24" t="inlineStr">
        <is>
          <t>PASS (verified by construction loop, summed into P5)</t>
        </is>
      </c>
      <c r="E7" s="24" t="inlineStr">
        <is>
          <t>PASS (verified by construction loop, summed into P5)</t>
        </is>
      </c>
      <c r="F7" s="24" t="inlineStr">
        <is>
          <t>PASS</t>
        </is>
      </c>
      <c r="G7" s="24" t="inlineStr">
        <is>
          <t>PASS</t>
        </is>
      </c>
      <c r="H7" s="24" t="inlineStr">
        <is>
          <t>PASS</t>
        </is>
      </c>
      <c r="I7" s="24" t="inlineStr">
        <is>
          <t>PASS (by construction of L)</t>
        </is>
      </c>
      <c r="J7" s="24" t="inlineStr">
        <is>
          <t>PASS</t>
        </is>
      </c>
      <c r="K7" s="24" t="inlineStr">
        <is>
          <t>PASS</t>
        </is>
      </c>
      <c r="L7" s="24" t="inlineStr">
        <is>
          <t>PASS</t>
        </is>
      </c>
    </row>
    <row r="8">
      <c r="A8" s="24" t="inlineStr">
        <is>
          <t>G1</t>
        </is>
      </c>
      <c r="B8" s="24" t="inlineStr">
        <is>
          <t>PASS (by construction, verified for all k&lt;=n)</t>
        </is>
      </c>
      <c r="C8" s="24" t="inlineStr">
        <is>
          <t>PASS</t>
        </is>
      </c>
      <c r="D8" s="24" t="inlineStr">
        <is>
          <t>PASS (verified by construction loop, summed into P5)</t>
        </is>
      </c>
      <c r="E8" s="24" t="inlineStr">
        <is>
          <t>PASS (verified by construction loop, summed into P5)</t>
        </is>
      </c>
      <c r="F8" s="24" t="inlineStr">
        <is>
          <t>PASS</t>
        </is>
      </c>
      <c r="G8" s="24" t="inlineStr">
        <is>
          <t>PASS</t>
        </is>
      </c>
      <c r="H8" s="24" t="inlineStr">
        <is>
          <t>PASS</t>
        </is>
      </c>
      <c r="I8" s="24" t="inlineStr">
        <is>
          <t>PASS (by construction of L)</t>
        </is>
      </c>
      <c r="J8" s="24" t="inlineStr">
        <is>
          <t>PASS</t>
        </is>
      </c>
      <c r="K8" s="24" t="inlineStr">
        <is>
          <t>PASS</t>
        </is>
      </c>
      <c r="L8" s="24" t="inlineStr">
        <is>
          <t>PASS</t>
        </is>
      </c>
    </row>
    <row r="9">
      <c r="A9" s="24" t="inlineStr">
        <is>
          <t>G2</t>
        </is>
      </c>
      <c r="B9" s="24" t="inlineStr">
        <is>
          <t>PASS (by construction, verified for all k&lt;=n)</t>
        </is>
      </c>
      <c r="C9" s="24" t="inlineStr">
        <is>
          <t>PASS</t>
        </is>
      </c>
      <c r="D9" s="24" t="inlineStr">
        <is>
          <t>PASS (verified by construction loop, summed into P5)</t>
        </is>
      </c>
      <c r="E9" s="24" t="inlineStr">
        <is>
          <t>PASS (verified by construction loop, summed into P5)</t>
        </is>
      </c>
      <c r="F9" s="24" t="inlineStr">
        <is>
          <t>PASS</t>
        </is>
      </c>
      <c r="G9" s="24" t="inlineStr">
        <is>
          <t>PASS</t>
        </is>
      </c>
      <c r="H9" s="24" t="inlineStr">
        <is>
          <t>PASS</t>
        </is>
      </c>
      <c r="I9" s="24" t="inlineStr">
        <is>
          <t>PASS (by construction of L)</t>
        </is>
      </c>
      <c r="J9" s="24" t="inlineStr">
        <is>
          <t>PASS</t>
        </is>
      </c>
      <c r="K9" s="24" t="inlineStr">
        <is>
          <t>PASS</t>
        </is>
      </c>
      <c r="L9" s="24" t="inlineStr">
        <is>
          <t>PASS</t>
        </is>
      </c>
    </row>
    <row r="10">
      <c r="A10" s="24" t="inlineStr">
        <is>
          <t>G3</t>
        </is>
      </c>
      <c r="B10" s="24" t="inlineStr">
        <is>
          <t>PASS (by construction, verified for all k&lt;=n)</t>
        </is>
      </c>
      <c r="C10" s="24" t="inlineStr">
        <is>
          <t>PASS</t>
        </is>
      </c>
      <c r="D10" s="24" t="inlineStr">
        <is>
          <t>PASS (verified by construction loop, summed into P5)</t>
        </is>
      </c>
      <c r="E10" s="24" t="inlineStr">
        <is>
          <t>PASS (verified by construction loop, summed into P5)</t>
        </is>
      </c>
      <c r="F10" s="24" t="inlineStr">
        <is>
          <t>PASS</t>
        </is>
      </c>
      <c r="G10" s="24" t="inlineStr">
        <is>
          <t>PASS</t>
        </is>
      </c>
      <c r="H10" s="24" t="inlineStr">
        <is>
          <t>PASS</t>
        </is>
      </c>
      <c r="I10" s="24" t="inlineStr">
        <is>
          <t>PASS (by construction of L)</t>
        </is>
      </c>
      <c r="J10" s="24" t="inlineStr">
        <is>
          <t>PASS</t>
        </is>
      </c>
      <c r="K10" s="24" t="inlineStr">
        <is>
          <t>PASS</t>
        </is>
      </c>
      <c r="L10" s="24" t="inlineStr">
        <is>
          <t>PASS</t>
        </is>
      </c>
    </row>
    <row r="11">
      <c r="A11" s="24" t="inlineStr">
        <is>
          <t>G4</t>
        </is>
      </c>
      <c r="B11" s="24" t="inlineStr">
        <is>
          <t>PASS (by construction, verified for all k&lt;=n)</t>
        </is>
      </c>
      <c r="C11" s="24" t="inlineStr">
        <is>
          <t>PASS</t>
        </is>
      </c>
      <c r="D11" s="24" t="inlineStr">
        <is>
          <t>PASS (verified by construction loop, summed into P5)</t>
        </is>
      </c>
      <c r="E11" s="24" t="inlineStr">
        <is>
          <t>PASS (verified by construction loop, summed into P5)</t>
        </is>
      </c>
      <c r="F11" s="24" t="inlineStr">
        <is>
          <t>PASS</t>
        </is>
      </c>
      <c r="G11" s="24" t="inlineStr">
        <is>
          <t>PASS</t>
        </is>
      </c>
      <c r="H11" s="24" t="inlineStr">
        <is>
          <t>PASS</t>
        </is>
      </c>
      <c r="I11" s="24" t="inlineStr">
        <is>
          <t>PASS (by construction of L)</t>
        </is>
      </c>
      <c r="J11" s="24" t="inlineStr">
        <is>
          <t>PASS</t>
        </is>
      </c>
      <c r="K11" s="24" t="inlineStr">
        <is>
          <t>PASS</t>
        </is>
      </c>
      <c r="L11" s="24" t="inlineStr">
        <is>
          <t>PASS</t>
        </is>
      </c>
    </row>
    <row r="14">
      <c r="A14" s="30" t="inlineStr">
        <is>
          <t>Numeric checkpoint comparison (checkpoint-derived vs. independently reconstructed)</t>
        </is>
      </c>
    </row>
    <row r="15">
      <c r="A15" s="23" t="inlineStr">
        <is>
          <t>Checkpoint</t>
        </is>
      </c>
      <c r="B15" s="23" t="inlineStr">
        <is>
          <t>Reconstructed value</t>
        </is>
      </c>
      <c r="C15" s="23" t="inlineStr">
        <is>
          <t>v1.0 checkpoint value</t>
        </is>
      </c>
      <c r="D15" s="23" t="inlineStr">
        <is>
          <t>Abs. diff</t>
        </is>
      </c>
      <c r="E15" s="23" t="inlineStr">
        <is>
          <t>Match (&lt;1e-6)?</t>
        </is>
      </c>
    </row>
    <row r="16">
      <c r="A16" s="24" t="inlineStr">
        <is>
          <t>G3 sigma16</t>
        </is>
      </c>
      <c r="B16" s="24" t="n">
        <v>2.828427124746199</v>
      </c>
      <c r="C16" s="24" t="n">
        <v>2.828427124746192</v>
      </c>
      <c r="D16" s="24" t="n">
        <v>6.661338147750939e-15</v>
      </c>
      <c r="E16" s="24" t="b">
        <v>1</v>
      </c>
    </row>
    <row r="17">
      <c r="A17" s="24" t="inlineStr">
        <is>
          <t>G3 sigma17</t>
        </is>
      </c>
      <c r="B17" s="24" t="n">
        <v>2.849152618684597</v>
      </c>
      <c r="C17" s="24" t="n">
        <v>2.849152618684595</v>
      </c>
      <c r="D17" s="24" t="n">
        <v>2.664535259100376e-15</v>
      </c>
      <c r="E17" s="24" t="b">
        <v>1</v>
      </c>
    </row>
    <row r="18">
      <c r="A18" s="24" t="inlineStr">
        <is>
          <t>G4 sigma16=sigma17 (degenerate)</t>
        </is>
      </c>
      <c r="B18" s="24" t="n">
        <v>3.464101615137752</v>
      </c>
      <c r="C18" s="24" t="n">
        <v>3.464101615137755</v>
      </c>
      <c r="D18" s="24" t="n">
        <v>2.664535259100376e-15</v>
      </c>
      <c r="E18" s="24" t="b">
        <v>1</v>
      </c>
    </row>
    <row r="19">
      <c r="A19" s="24" t="inlineStr">
        <is>
          <t>G0 t_H</t>
        </is>
      </c>
      <c r="B19" s="24" t="n">
        <v>0.1732867951399862</v>
      </c>
      <c r="C19" s="24" t="n">
        <v>0.17328679514</v>
      </c>
      <c r="D19" s="24" t="n">
        <v>1.379452108096757e-14</v>
      </c>
      <c r="E19" s="24" t="b">
        <v>1</v>
      </c>
    </row>
    <row r="20">
      <c r="A20" s="24" t="inlineStr">
        <is>
          <t>G1 t_H</t>
        </is>
      </c>
      <c r="B20" s="24" t="n">
        <v>0.1375784465297643</v>
      </c>
      <c r="C20" s="24" t="n">
        <v>0.13757844653</v>
      </c>
      <c r="D20" s="24" t="n">
        <v>2.357003481279207e-13</v>
      </c>
      <c r="E20" s="24" t="b">
        <v>1</v>
      </c>
    </row>
    <row r="21">
      <c r="A21" s="24" t="inlineStr">
        <is>
          <t>G2 t_H</t>
        </is>
      </c>
      <c r="B21" s="24" t="n">
        <v>0.07991141724133249</v>
      </c>
      <c r="C21" s="24" t="n">
        <v>0.079911417241</v>
      </c>
      <c r="D21" s="24" t="n">
        <v>3.324979180874266e-13</v>
      </c>
      <c r="E21" s="24" t="b">
        <v>1</v>
      </c>
    </row>
    <row r="22">
      <c r="A22" s="24" t="inlineStr">
        <is>
          <t>G3 t_H</t>
        </is>
      </c>
      <c r="B22" s="24" t="n">
        <v>0.04322536744065707</v>
      </c>
      <c r="C22" s="24" t="n">
        <v>0.043225367441</v>
      </c>
      <c r="D22" s="24" t="n">
        <v>3.429270756249991e-13</v>
      </c>
      <c r="E22" s="24" t="b">
        <v>1</v>
      </c>
    </row>
    <row r="23">
      <c r="A23" s="24" t="inlineStr">
        <is>
          <t>G4 t_H</t>
        </is>
      </c>
      <c r="B23" s="24" t="n">
        <v>0.02256440396907692</v>
      </c>
      <c r="C23" s="24" t="n">
        <v>0.022564403969</v>
      </c>
      <c r="D23" s="24" t="n">
        <v>7.692110837176358e-14</v>
      </c>
      <c r="E23" s="24" t="b">
        <v>1</v>
      </c>
    </row>
    <row r="24">
      <c r="A24" s="24" t="inlineStr">
        <is>
          <t>G0 lambda_c</t>
        </is>
      </c>
      <c r="B24" s="24" t="n">
        <v>5.770780163555857</v>
      </c>
      <c r="C24" s="24" t="n">
        <v>5.770780163555398</v>
      </c>
      <c r="D24" s="24" t="n">
        <v>4.591882429849647e-13</v>
      </c>
      <c r="E24" s="24" t="b">
        <v>1</v>
      </c>
    </row>
    <row r="25">
      <c r="A25" s="24" t="inlineStr">
        <is>
          <t>G1 lambda_c</t>
        </is>
      </c>
      <c r="B25" s="24" t="n">
        <v>7.268580400663673</v>
      </c>
      <c r="C25" s="24" t="n">
        <v>7.268580400651221</v>
      </c>
      <c r="D25" s="24" t="n">
        <v>1.245226144419576e-11</v>
      </c>
      <c r="E25" s="24" t="b">
        <v>1</v>
      </c>
    </row>
    <row r="26">
      <c r="A26" s="24" t="inlineStr">
        <is>
          <t>G2 lambda_c</t>
        </is>
      </c>
      <c r="B26" s="24" t="n">
        <v>12.51385639901742</v>
      </c>
      <c r="C26" s="24" t="n">
        <v>12.51385639906949</v>
      </c>
      <c r="D26" s="24" t="n">
        <v>5.206857167650014e-11</v>
      </c>
      <c r="E26" s="24" t="b">
        <v>1</v>
      </c>
    </row>
    <row r="27">
      <c r="A27" s="24" t="inlineStr">
        <is>
          <t>G3 lambda_c</t>
        </is>
      </c>
      <c r="B27" s="24" t="n">
        <v>23.13456331800702</v>
      </c>
      <c r="C27" s="24" t="n">
        <v>23.13456331782348</v>
      </c>
      <c r="D27" s="24" t="n">
        <v>1.835367413605127e-10</v>
      </c>
      <c r="E27" s="24" t="b">
        <v>1</v>
      </c>
    </row>
    <row r="28">
      <c r="A28" s="24" t="inlineStr">
        <is>
          <t>G4 lambda_c</t>
        </is>
      </c>
      <c r="B28" s="24" t="n">
        <v>44.31758983620557</v>
      </c>
      <c r="C28" s="24" t="n">
        <v>44.31758983635665</v>
      </c>
      <c r="D28" s="24" t="n">
        <v>1.510755964773125e-10</v>
      </c>
      <c r="E28" s="24" t="b">
        <v>1</v>
      </c>
    </row>
    <row r="30" ht="40" customHeight="1">
      <c r="A30" s="22" t="inlineStr">
        <is>
          <t>All 8 checkpoint classes match to double-precision tolerance (&lt;2e-10 absolute, typically ~1e-13). t_H and lambda_c were solved independently from the complete spectrum via root-finding on p_A(t)=Tr(P_+ e^{-2tL})/rank(P_+)=1/2, NOT copied from the v1.0 checkpoint sheet.</t>
        </is>
      </c>
    </row>
  </sheetData>
  <mergeCells count="1">
    <mergeCell ref="A30:E30"/>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cols>
    <col width="26" customWidth="1" min="1" max="1"/>
    <col width="30" customWidth="1" min="2" max="2"/>
    <col width="26" customWidth="1" min="4" max="4"/>
    <col width="30" customWidth="1" min="5" max="5"/>
    <col width="26" customWidth="1" min="7" max="7"/>
    <col width="30" customWidth="1" min="8" max="8"/>
    <col width="26" customWidth="1" min="10" max="10"/>
    <col width="30" customWidth="1" min="11" max="11"/>
    <col width="26" customWidth="1" min="13" max="13"/>
    <col width="30" customWidth="1" min="14" max="14"/>
  </cols>
  <sheetData>
    <row r="1">
      <c r="A1" s="21" t="inlineStr">
        <is>
          <t>COMPLETE LAPLACIAN AND POSITIVE DIRAC SPECTRA, G0-G4</t>
        </is>
      </c>
    </row>
    <row r="2">
      <c r="A2" s="22" t="inlineStr">
        <is>
          <t>Ascending order. Full matrices (A, B, L, D_G) are exported as CSV+NumPy under reconstruction/{adjacency,incidence,laplacian,dirac}/ in the repository (too large for convenient spreadsheet embedding at G4 scale: D_G is 573x573).</t>
        </is>
      </c>
    </row>
    <row r="5">
      <c r="A5" s="23" t="inlineStr">
        <is>
          <t>G0 Laplacian eigenvalues (ascending, incl. zero mode)</t>
        </is>
      </c>
      <c r="B5" s="23" t="inlineStr">
        <is>
          <t>G0 positive Dirac singular values (ascending)</t>
        </is>
      </c>
      <c r="D5" s="23" t="inlineStr">
        <is>
          <t>G1 Laplacian eigenvalues (ascending, incl. zero mode)</t>
        </is>
      </c>
      <c r="E5" s="23" t="inlineStr">
        <is>
          <t>G1 positive Dirac singular values (ascending)</t>
        </is>
      </c>
      <c r="G5" s="23" t="inlineStr">
        <is>
          <t>G2 Laplacian eigenvalues (ascending, incl. zero mode)</t>
        </is>
      </c>
      <c r="H5" s="23" t="inlineStr">
        <is>
          <t>G2 positive Dirac singular values (ascending)</t>
        </is>
      </c>
      <c r="J5" s="23" t="inlineStr">
        <is>
          <t>G3 Laplacian eigenvalues (ascending, incl. zero mode)</t>
        </is>
      </c>
      <c r="K5" s="23" t="inlineStr">
        <is>
          <t>G3 positive Dirac singular values (ascending)</t>
        </is>
      </c>
      <c r="M5" s="23" t="inlineStr">
        <is>
          <t>G4 Laplacian eigenvalues (ascending, incl. zero mode)</t>
        </is>
      </c>
      <c r="N5" s="23" t="inlineStr">
        <is>
          <t>G4 positive Dirac singular values (ascending)</t>
        </is>
      </c>
    </row>
    <row r="6">
      <c r="A6" t="n">
        <v>0</v>
      </c>
      <c r="B6" t="n">
        <v>1.414213562373095</v>
      </c>
      <c r="D6" t="n">
        <v>-2.244825237836546e-16</v>
      </c>
      <c r="E6" t="n">
        <v>0.8740320488976421</v>
      </c>
      <c r="G6" t="n">
        <v>5.347941959952879e-17</v>
      </c>
      <c r="H6" t="n">
        <v>0.703947212179569</v>
      </c>
      <c r="J6" t="n">
        <v>3.194188243271158e-16</v>
      </c>
      <c r="K6" t="n">
        <v>0.6255172947823135</v>
      </c>
      <c r="M6" t="n">
        <v>6.22935981158961e-16</v>
      </c>
      <c r="N6" t="n">
        <v>0.5857919630757054</v>
      </c>
    </row>
    <row r="7">
      <c r="A7" t="n">
        <v>2</v>
      </c>
      <c r="D7" t="n">
        <v>0.7639320225002103</v>
      </c>
      <c r="E7" t="n">
        <v>1.414213562373093</v>
      </c>
      <c r="G7" t="n">
        <v>0.4955416775353877</v>
      </c>
      <c r="H7" t="n">
        <v>1.307257824334714</v>
      </c>
      <c r="J7" t="n">
        <v>0.3912718860717828</v>
      </c>
      <c r="K7" t="n">
        <v>1.153459849880655</v>
      </c>
      <c r="M7" t="n">
        <v>0.3431522240040911</v>
      </c>
      <c r="N7" t="n">
        <v>1.072799175588842</v>
      </c>
    </row>
    <row r="8">
      <c r="D8" t="n">
        <v>2</v>
      </c>
      <c r="E8" t="n">
        <v>1.732050807568876</v>
      </c>
      <c r="G8" t="n">
        <v>1.70892301928433</v>
      </c>
      <c r="H8" t="n">
        <v>1.732050807568875</v>
      </c>
      <c r="J8" t="n">
        <v>1.330469625286707</v>
      </c>
      <c r="K8" t="n">
        <v>1.73205080756888</v>
      </c>
      <c r="M8" t="n">
        <v>1.150898071144097</v>
      </c>
      <c r="N8" t="n">
        <v>1.577226769023407</v>
      </c>
    </row>
    <row r="9">
      <c r="D9" t="n">
        <v>3</v>
      </c>
      <c r="E9" t="n">
        <v>1.732050807568878</v>
      </c>
      <c r="G9" t="n">
        <v>3</v>
      </c>
      <c r="H9" t="n">
        <v>1.999999999999999</v>
      </c>
      <c r="J9" t="n">
        <v>3.000000000000007</v>
      </c>
      <c r="K9" t="n">
        <v>1.739032582323043</v>
      </c>
      <c r="M9" t="n">
        <v>2.487644280924015</v>
      </c>
      <c r="N9" t="n">
        <v>1.732050807568875</v>
      </c>
    </row>
    <row r="10">
      <c r="D10" t="n">
        <v>3.000000000000002</v>
      </c>
      <c r="E10" t="n">
        <v>2.288245611270735</v>
      </c>
      <c r="G10" t="n">
        <v>3.999999999999998</v>
      </c>
      <c r="H10" t="n">
        <v>2</v>
      </c>
      <c r="J10" t="n">
        <v>3.024234322381146</v>
      </c>
      <c r="K10" t="n">
        <v>2.13140899016689</v>
      </c>
      <c r="M10" t="n">
        <v>2.999999999999999</v>
      </c>
      <c r="N10" t="n">
        <v>2.056842131414824</v>
      </c>
    </row>
    <row r="11">
      <c r="D11" t="n">
        <v>5.236067977499788</v>
      </c>
      <c r="G11" t="n">
        <v>4</v>
      </c>
      <c r="H11" t="n">
        <v>2</v>
      </c>
      <c r="J11" t="n">
        <v>4.54290428336424</v>
      </c>
      <c r="K11" t="n">
        <v>2.449489742783175</v>
      </c>
      <c r="M11" t="n">
        <v>4.230599553563077</v>
      </c>
      <c r="N11" t="n">
        <v>2.449489742783166</v>
      </c>
    </row>
    <row r="12">
      <c r="G12" t="n">
        <v>4.000000000000001</v>
      </c>
      <c r="H12" t="n">
        <v>2.000000000000003</v>
      </c>
      <c r="J12" t="n">
        <v>5.999999999999988</v>
      </c>
      <c r="K12" t="n">
        <v>2.449489742783178</v>
      </c>
      <c r="M12" t="n">
        <v>5.999999999999992</v>
      </c>
      <c r="N12" t="n">
        <v>2.449489742783177</v>
      </c>
    </row>
    <row r="13">
      <c r="G13" t="n">
        <v>4.000000000000002</v>
      </c>
      <c r="H13" t="n">
        <v>2.449489742783177</v>
      </c>
      <c r="J13" t="n">
        <v>5.999999999999994</v>
      </c>
      <c r="K13" t="n">
        <v>2.449489742783178</v>
      </c>
      <c r="M13" t="n">
        <v>6.000000000000005</v>
      </c>
      <c r="N13" t="n">
        <v>2.449489742783178</v>
      </c>
    </row>
    <row r="14">
      <c r="G14" t="n">
        <v>6</v>
      </c>
      <c r="H14" t="n">
        <v>2.449489742783177</v>
      </c>
      <c r="J14" t="n">
        <v>5.999999999999997</v>
      </c>
      <c r="K14" t="n">
        <v>2.449489742783179</v>
      </c>
      <c r="M14" t="n">
        <v>6.000000000000006</v>
      </c>
      <c r="N14" t="n">
        <v>2.449489742783187</v>
      </c>
    </row>
    <row r="15">
      <c r="G15" t="n">
        <v>6</v>
      </c>
      <c r="H15" t="n">
        <v>2.449489742783177</v>
      </c>
      <c r="J15" t="n">
        <v>6.000000000000001</v>
      </c>
      <c r="K15" t="n">
        <v>2.828427124746185</v>
      </c>
      <c r="M15" t="n">
        <v>6.000000000000011</v>
      </c>
      <c r="N15" t="n">
        <v>2.495047417040558</v>
      </c>
    </row>
    <row r="16">
      <c r="G16" t="n">
        <v>6.000000000000002</v>
      </c>
      <c r="H16" t="n">
        <v>2.449489742783178</v>
      </c>
      <c r="J16" t="n">
        <v>7.999999999999981</v>
      </c>
      <c r="K16" t="n">
        <v>2.828427124746185</v>
      </c>
      <c r="M16" t="n">
        <v>6.225261613280756</v>
      </c>
      <c r="N16" t="n">
        <v>3.023242515766627</v>
      </c>
    </row>
    <row r="17">
      <c r="G17" t="n">
        <v>6.000000000000004</v>
      </c>
      <c r="H17" t="n">
        <v>2.510270760152815</v>
      </c>
      <c r="J17" t="n">
        <v>7.999999999999995</v>
      </c>
      <c r="K17" t="n">
        <v>2.828427124746188</v>
      </c>
      <c r="M17" t="n">
        <v>9.139995309138861</v>
      </c>
      <c r="N17" t="n">
        <v>3.464101615137747</v>
      </c>
    </row>
    <row r="18">
      <c r="G18" t="n">
        <v>6.301459289278194</v>
      </c>
      <c r="H18" t="n">
        <v>3.239456129337467</v>
      </c>
      <c r="J18" t="n">
        <v>7.999999999999996</v>
      </c>
      <c r="K18" t="n">
        <v>2.828427124746189</v>
      </c>
      <c r="M18" t="n">
        <v>11.99999999999997</v>
      </c>
      <c r="N18" t="n">
        <v>3.464101615137748</v>
      </c>
    </row>
    <row r="19">
      <c r="G19" t="n">
        <v>10.49407601390208</v>
      </c>
      <c r="J19" t="n">
        <v>7.999999999999996</v>
      </c>
      <c r="K19" t="n">
        <v>2.828427124746193</v>
      </c>
      <c r="M19" t="n">
        <v>11.99999999999999</v>
      </c>
      <c r="N19" t="n">
        <v>3.46410161513775</v>
      </c>
    </row>
    <row r="20">
      <c r="J20" t="n">
        <v>8</v>
      </c>
      <c r="K20" t="n">
        <v>2.828427124746196</v>
      </c>
      <c r="M20" t="n">
        <v>12</v>
      </c>
      <c r="N20" t="n">
        <v>3.464101615137751</v>
      </c>
    </row>
    <row r="21">
      <c r="J21" t="n">
        <v>8.000000000000007</v>
      </c>
      <c r="K21" t="n">
        <v>2.828427124746199</v>
      </c>
      <c r="M21" t="n">
        <v>12</v>
      </c>
      <c r="N21" t="n">
        <v>3.464101615137752</v>
      </c>
    </row>
    <row r="22">
      <c r="J22" t="n">
        <v>8.000000000000011</v>
      </c>
      <c r="K22" t="n">
        <v>2.849152618684597</v>
      </c>
      <c r="M22" t="n">
        <v>12</v>
      </c>
      <c r="N22" t="n">
        <v>3.464101615137753</v>
      </c>
    </row>
    <row r="23">
      <c r="J23" t="n">
        <v>8.117670644557284</v>
      </c>
      <c r="K23" t="n">
        <v>3.464101615137746</v>
      </c>
      <c r="M23" t="n">
        <v>12.00000000000001</v>
      </c>
      <c r="N23" t="n">
        <v>3.464101615137753</v>
      </c>
    </row>
    <row r="24">
      <c r="J24" t="n">
        <v>11.99999999999999</v>
      </c>
      <c r="K24" t="n">
        <v>3.464101615137749</v>
      </c>
      <c r="M24" t="n">
        <v>12.00000000000001</v>
      </c>
      <c r="N24" t="n">
        <v>3.464101615137762</v>
      </c>
    </row>
    <row r="25">
      <c r="J25" t="n">
        <v>11.99999999999999</v>
      </c>
      <c r="K25" t="n">
        <v>3.464101615137752</v>
      </c>
      <c r="M25" t="n">
        <v>12.00000000000002</v>
      </c>
      <c r="N25" t="n">
        <v>3.464101615137763</v>
      </c>
    </row>
    <row r="26">
      <c r="J26" t="n">
        <v>11.99999999999999</v>
      </c>
      <c r="K26" t="n">
        <v>3.464101615137752</v>
      </c>
      <c r="M26" t="n">
        <v>12.00000000000003</v>
      </c>
      <c r="N26" t="n">
        <v>3.464101615137767</v>
      </c>
    </row>
    <row r="27">
      <c r="J27" t="n">
        <v>12</v>
      </c>
      <c r="K27" t="n">
        <v>3.464101615137753</v>
      </c>
      <c r="M27" t="n">
        <v>12.00000000000004</v>
      </c>
      <c r="N27" t="n">
        <v>3.999999999999978</v>
      </c>
    </row>
    <row r="28">
      <c r="J28" t="n">
        <v>12</v>
      </c>
      <c r="K28" t="n">
        <v>3.464101615137756</v>
      </c>
      <c r="M28" t="n">
        <v>15.99999999999998</v>
      </c>
      <c r="N28" t="n">
        <v>3.999999999999989</v>
      </c>
    </row>
    <row r="29">
      <c r="J29" t="n">
        <v>12</v>
      </c>
      <c r="K29" t="n">
        <v>3.464101615137756</v>
      </c>
      <c r="M29" t="n">
        <v>15.99999999999998</v>
      </c>
      <c r="N29" t="n">
        <v>3.99999999999999</v>
      </c>
    </row>
    <row r="30">
      <c r="J30" t="n">
        <v>12</v>
      </c>
      <c r="K30" t="n">
        <v>3.464101615137756</v>
      </c>
      <c r="M30" t="n">
        <v>15.99999999999999</v>
      </c>
      <c r="N30" t="n">
        <v>3.999999999999997</v>
      </c>
    </row>
    <row r="31">
      <c r="J31" t="n">
        <v>12.00000000000001</v>
      </c>
      <c r="K31" t="n">
        <v>3.464101615137758</v>
      </c>
      <c r="M31" t="n">
        <v>15.99999999999999</v>
      </c>
      <c r="N31" t="n">
        <v>3.999999999999998</v>
      </c>
    </row>
    <row r="32">
      <c r="J32" t="n">
        <v>12.00000000000001</v>
      </c>
      <c r="K32" t="n">
        <v>3.464101615137763</v>
      </c>
      <c r="M32" t="n">
        <v>15.99999999999999</v>
      </c>
      <c r="N32" t="n">
        <v>3.999999999999999</v>
      </c>
    </row>
    <row r="33">
      <c r="J33" t="n">
        <v>12.00000000000001</v>
      </c>
      <c r="K33" t="n">
        <v>3.550392571183507</v>
      </c>
      <c r="M33" t="n">
        <v>15.99999999999999</v>
      </c>
      <c r="N33" t="n">
        <v>4.000000000000001</v>
      </c>
    </row>
    <row r="34">
      <c r="J34" t="n">
        <v>12.60528740951502</v>
      </c>
      <c r="K34" t="n">
        <v>4.581283862502278</v>
      </c>
      <c r="M34" t="n">
        <v>15.99999999999999</v>
      </c>
      <c r="N34" t="n">
        <v>4.000000000000002</v>
      </c>
    </row>
    <row r="35">
      <c r="J35" t="n">
        <v>20.98816182882381</v>
      </c>
      <c r="M35" t="n">
        <v>16</v>
      </c>
      <c r="N35" t="n">
        <v>4.000000000000004</v>
      </c>
    </row>
    <row r="36">
      <c r="M36" t="n">
        <v>16</v>
      </c>
      <c r="N36" t="n">
        <v>4.000000000000006</v>
      </c>
    </row>
    <row r="37">
      <c r="M37" t="n">
        <v>16</v>
      </c>
      <c r="N37" t="n">
        <v>4.00000000000001</v>
      </c>
    </row>
    <row r="38">
      <c r="M38" t="n">
        <v>16</v>
      </c>
      <c r="N38" t="n">
        <v>4.000000000000012</v>
      </c>
    </row>
    <row r="39">
      <c r="M39" t="n">
        <v>16.00000000000001</v>
      </c>
      <c r="N39" t="n">
        <v>4.000000000000012</v>
      </c>
    </row>
    <row r="40">
      <c r="M40" t="n">
        <v>16.00000000000001</v>
      </c>
      <c r="N40" t="n">
        <v>4.000000000000012</v>
      </c>
    </row>
    <row r="41">
      <c r="M41" t="n">
        <v>16.00000000000001</v>
      </c>
      <c r="N41" t="n">
        <v>4.000000000000015</v>
      </c>
    </row>
    <row r="42">
      <c r="M42" t="n">
        <v>16.00000000000001</v>
      </c>
      <c r="N42" t="n">
        <v>4.029336180265195</v>
      </c>
    </row>
    <row r="43">
      <c r="M43" t="n">
        <v>16.23555005359413</v>
      </c>
      <c r="N43" t="n">
        <v>4.898979485566318</v>
      </c>
    </row>
    <row r="44">
      <c r="M44" t="n">
        <v>23.99999999999996</v>
      </c>
      <c r="N44" t="n">
        <v>4.898979485566327</v>
      </c>
    </row>
    <row r="45">
      <c r="M45" t="n">
        <v>23.99999999999997</v>
      </c>
      <c r="N45" t="n">
        <v>4.898979485566331</v>
      </c>
    </row>
    <row r="46">
      <c r="M46" t="n">
        <v>23.99999999999998</v>
      </c>
      <c r="N46" t="n">
        <v>4.898979485566338</v>
      </c>
    </row>
    <row r="47">
      <c r="M47" t="n">
        <v>23.99999999999998</v>
      </c>
      <c r="N47" t="n">
        <v>4.898979485566339</v>
      </c>
    </row>
    <row r="48">
      <c r="M48" t="n">
        <v>23.99999999999999</v>
      </c>
      <c r="N48" t="n">
        <v>4.898979485566344</v>
      </c>
    </row>
    <row r="49">
      <c r="M49" t="n">
        <v>23.99999999999999</v>
      </c>
      <c r="N49" t="n">
        <v>4.898979485566345</v>
      </c>
    </row>
    <row r="50">
      <c r="M50" t="n">
        <v>24</v>
      </c>
      <c r="N50" t="n">
        <v>4.898979485566346</v>
      </c>
    </row>
    <row r="51">
      <c r="M51" t="n">
        <v>24</v>
      </c>
      <c r="N51" t="n">
        <v>4.898979485566348</v>
      </c>
    </row>
    <row r="52">
      <c r="M52" t="n">
        <v>24</v>
      </c>
      <c r="N52" t="n">
        <v>4.898979485566349</v>
      </c>
    </row>
    <row r="53">
      <c r="M53" t="n">
        <v>24</v>
      </c>
      <c r="N53" t="n">
        <v>4.898979485566352</v>
      </c>
    </row>
    <row r="54">
      <c r="M54" t="n">
        <v>24.00000000000001</v>
      </c>
      <c r="N54" t="n">
        <v>4.898979485566352</v>
      </c>
    </row>
    <row r="55">
      <c r="M55" t="n">
        <v>24.00000000000001</v>
      </c>
      <c r="N55" t="n">
        <v>4.898979485566358</v>
      </c>
    </row>
    <row r="56">
      <c r="M56" t="n">
        <v>24.00000000000001</v>
      </c>
      <c r="N56" t="n">
        <v>4.898979485566359</v>
      </c>
    </row>
    <row r="57">
      <c r="M57" t="n">
        <v>24.00000000000001</v>
      </c>
      <c r="N57" t="n">
        <v>4.898979485566359</v>
      </c>
    </row>
    <row r="58">
      <c r="M58" t="n">
        <v>24.00000000000001</v>
      </c>
      <c r="N58" t="n">
        <v>4.898979485566359</v>
      </c>
    </row>
    <row r="59">
      <c r="M59" t="n">
        <v>24.00000000000001</v>
      </c>
      <c r="N59" t="n">
        <v>4.898979485566361</v>
      </c>
    </row>
    <row r="60">
      <c r="M60" t="n">
        <v>24.00000000000002</v>
      </c>
      <c r="N60" t="n">
        <v>4.898979485566363</v>
      </c>
    </row>
    <row r="61">
      <c r="M61" t="n">
        <v>24.00000000000002</v>
      </c>
      <c r="N61" t="n">
        <v>4.898979485566368</v>
      </c>
    </row>
    <row r="62">
      <c r="M62" t="n">
        <v>24.00000000000002</v>
      </c>
      <c r="N62" t="n">
        <v>4.898979485566369</v>
      </c>
    </row>
    <row r="63">
      <c r="M63" t="n">
        <v>24.00000000000002</v>
      </c>
      <c r="N63" t="n">
        <v>4.898979485566375</v>
      </c>
    </row>
    <row r="64">
      <c r="M64" t="n">
        <v>24.00000000000003</v>
      </c>
      <c r="N64" t="n">
        <v>4.89897948556638</v>
      </c>
    </row>
    <row r="65">
      <c r="M65" t="n">
        <v>24.00000000000006</v>
      </c>
      <c r="N65" t="n">
        <v>5.021013367493235</v>
      </c>
    </row>
    <row r="66">
      <c r="M66" t="n">
        <v>25.21057523654586</v>
      </c>
      <c r="N66" t="n">
        <v>6.478913771443886</v>
      </c>
    </row>
    <row r="67">
      <c r="M67" t="n">
        <v>41.97632365780512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50" customWidth="1" min="1" max="1"/>
    <col width="24" customWidth="1" min="2" max="2"/>
    <col width="22" customWidth="1" min="3" max="3"/>
    <col width="16" customWidth="1" min="4" max="4"/>
    <col width="18" customWidth="1" min="5" max="5"/>
    <col width="20" customWidth="1" min="6" max="6"/>
    <col width="16" customWidth="1" min="7" max="7"/>
  </cols>
  <sheetData>
    <row r="1">
      <c r="A1" s="21" t="inlineStr">
        <is>
          <t>C-004B RE-EXECUTED WITH COMPLETE SPECTRA</t>
        </is>
      </c>
    </row>
    <row r="2">
      <c r="A2" s="22" t="inlineStr">
        <is>
          <t>N_H,k = rank(P_H,k) = #{Laplacian eigenvalues &gt;= lambda_c,k} -- now directly computable for every shell (previously OPEN in v1.1 for lack of lambda_max).</t>
        </is>
      </c>
    </row>
    <row r="5">
      <c r="A5" s="23" t="inlineStr">
        <is>
          <t>Shell</t>
        </is>
      </c>
      <c r="B5" s="23" t="inlineStr">
        <is>
          <t>N</t>
        </is>
      </c>
      <c r="C5" s="23" t="inlineStr">
        <is>
          <t>delta_spec = lambda_1(L)</t>
        </is>
      </c>
      <c r="D5" s="23" t="inlineStr">
        <is>
          <t>lambda_max(L)</t>
        </is>
      </c>
      <c r="E5" s="23" t="inlineStr">
        <is>
          <t>lambda_c=1/t_H</t>
        </is>
      </c>
      <c r="F5" s="23" t="inlineStr">
        <is>
          <t>lambda_max &lt; lambda_c ?</t>
        </is>
      </c>
      <c r="G5" s="23" t="inlineStr">
        <is>
          <t>N_H = rank(P_H)</t>
        </is>
      </c>
    </row>
    <row r="6">
      <c r="A6" s="24" t="inlineStr">
        <is>
          <t>G0</t>
        </is>
      </c>
      <c r="B6" s="24" t="n">
        <v>2</v>
      </c>
      <c r="C6" s="24" t="n">
        <v>2</v>
      </c>
      <c r="D6" s="24" t="n">
        <v>2</v>
      </c>
      <c r="E6" s="24" t="n">
        <v>5.770780163555857</v>
      </c>
      <c r="F6" s="24" t="b">
        <v>1</v>
      </c>
      <c r="G6" s="24" t="n">
        <v>0</v>
      </c>
    </row>
    <row r="7">
      <c r="A7" s="24" t="inlineStr">
        <is>
          <t>G1</t>
        </is>
      </c>
      <c r="B7" s="24" t="n">
        <v>6</v>
      </c>
      <c r="C7" s="24" t="n">
        <v>0.7639320225002103</v>
      </c>
      <c r="D7" s="24" t="n">
        <v>5.236067977499788</v>
      </c>
      <c r="E7" s="24" t="n">
        <v>7.268580400663673</v>
      </c>
      <c r="F7" s="24" t="b">
        <v>1</v>
      </c>
      <c r="G7" s="24" t="n">
        <v>0</v>
      </c>
    </row>
    <row r="8">
      <c r="A8" s="24" t="inlineStr">
        <is>
          <t>G2</t>
        </is>
      </c>
      <c r="B8" s="24" t="n">
        <v>14</v>
      </c>
      <c r="C8" s="24" t="n">
        <v>0.4955416775353877</v>
      </c>
      <c r="D8" s="24" t="n">
        <v>10.49407601390208</v>
      </c>
      <c r="E8" s="24" t="n">
        <v>12.51385639901742</v>
      </c>
      <c r="F8" s="24" t="b">
        <v>1</v>
      </c>
      <c r="G8" s="24" t="n">
        <v>0</v>
      </c>
    </row>
    <row r="9">
      <c r="A9" s="24" t="inlineStr">
        <is>
          <t>G3</t>
        </is>
      </c>
      <c r="B9" s="24" t="n">
        <v>30</v>
      </c>
      <c r="C9" s="24" t="n">
        <v>0.3912718860717828</v>
      </c>
      <c r="D9" s="24" t="n">
        <v>20.98816182882381</v>
      </c>
      <c r="E9" s="24" t="n">
        <v>23.13456331800702</v>
      </c>
      <c r="F9" s="24" t="b">
        <v>1</v>
      </c>
      <c r="G9" s="24" t="n">
        <v>0</v>
      </c>
    </row>
    <row r="10">
      <c r="A10" s="24" t="inlineStr">
        <is>
          <t>G4</t>
        </is>
      </c>
      <c r="B10" s="24" t="n">
        <v>62</v>
      </c>
      <c r="C10" s="24" t="n">
        <v>0.3431522240040911</v>
      </c>
      <c r="D10" s="24" t="n">
        <v>41.97632365780512</v>
      </c>
      <c r="E10" s="24" t="n">
        <v>44.31758983620557</v>
      </c>
      <c r="F10" s="24" t="b">
        <v>1</v>
      </c>
      <c r="G10" s="24" t="n">
        <v>0</v>
      </c>
    </row>
    <row r="12" ht="55" customHeight="1">
      <c r="A12" s="31" t="inlineStr">
        <is>
          <t>RESULT: lambda_max(L_k) &lt; lambda_c,k for every shell G0-G4 -&gt; N_H(G_k)=0 for all k=0..4. The canonical persistence threshold lambda_c=1/t_H does not merely fail to select the G3 32-boundary (v1.1 finding) -- it lies entirely above the top of the spectrum for every tested shell, producing an EMPTY horizon sector everywhere. C-004B = FALSIFIED FOR 32-BOUNDARY COMPATIBILITY is confirmed and strengthened.</t>
        </is>
      </c>
    </row>
    <row r="14">
      <c r="A14" s="30" t="inlineStr">
        <is>
          <t>G3 boundary rank tests</t>
        </is>
      </c>
    </row>
    <row r="15">
      <c r="A15" s="23" t="inlineStr">
        <is>
          <t>Object</t>
        </is>
      </c>
      <c r="B15" s="23" t="inlineStr">
        <is>
          <t>Value</t>
        </is>
      </c>
    </row>
    <row r="16">
      <c r="A16" s="24" t="inlineStr">
        <is>
          <t>lambda16(G3)</t>
        </is>
      </c>
      <c r="B16" s="24" t="n">
        <v>8.000000000000011</v>
      </c>
    </row>
    <row r="17">
      <c r="A17" s="24" t="inlineStr">
        <is>
          <t>lambda17(G3)</t>
        </is>
      </c>
      <c r="B17" s="24" t="n">
        <v>8.117670644557284</v>
      </c>
    </row>
    <row r="18">
      <c r="A18" s="24" t="inlineStr">
        <is>
          <t>rank(1_[lambda16,lambda17)(L_3))</t>
        </is>
      </c>
      <c r="B18" s="24" t="n">
        <v>1</v>
      </c>
    </row>
    <row r="19">
      <c r="A19" s="24" t="inlineStr">
        <is>
          <t>sigma16(G3)</t>
        </is>
      </c>
      <c r="B19" s="24" t="n">
        <v>2.828427124746199</v>
      </c>
    </row>
    <row r="20">
      <c r="A20" s="24" t="inlineStr">
        <is>
          <t>sigma17(G3)</t>
        </is>
      </c>
      <c r="B20" s="24" t="n">
        <v>2.849152618684597</v>
      </c>
    </row>
    <row r="21">
      <c r="A21" s="24" t="inlineStr">
        <is>
          <t>rank of projector onto first 16 nonzero +-sigma Dirac pairs</t>
        </is>
      </c>
      <c r="B21" s="24" t="n">
        <v>32</v>
      </c>
    </row>
    <row r="23" ht="90" customHeight="1">
      <c r="A23" s="22" t="inlineStr">
        <is>
          <t>The Laplacian-side boundary interval [lambda16,lambda17) contains exactly 1 eigenvalue by construction of a half-open interval between two adjacent sorted eigenvalues. The '32-state' language corresponds instead to the projector onto the first 16 nonzero +-sigma Dirac pairs (32 states total), which is well-defined and isolated because sigma_16 &lt; sigma_17 with a nonzero gap -- but WHY index 16 specifically is the physically selected cutoff is a separate, still-unresolved question (no target-independent selector in the source material picks out k=16).</t>
        </is>
      </c>
    </row>
  </sheetData>
  <mergeCells count="2">
    <mergeCell ref="A12:G12"/>
    <mergeCell ref="A23:B23"/>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6" customWidth="1" min="1" max="1"/>
    <col width="26" customWidth="1" min="2" max="2"/>
    <col width="70" customWidth="1" min="3" max="3"/>
  </cols>
  <sheetData>
    <row r="1">
      <c r="A1" s="21" t="inlineStr">
        <is>
          <t>OPEN-020E.2 RE-AUDIT WITH SOURCE-CONFIRMED Pi_0 DEFINITION</t>
        </is>
      </c>
    </row>
    <row r="2">
      <c r="A2" s="22" t="inlineStr">
        <is>
          <t>Corpus search (5ec46f55 workbook, sheet 54_SOURCE_TEXT_CORPUS) recovered the genuine source definition: Pi_0 = (delta_spec - lambda_c) / sigma, with delta_spec=lambda_1(L) (CERTIFIED, B-002) and sigma = entropy production (CERTIFIED as existing and &gt;=0 by an H-theorem, B-006), but sigma is defined dynamically as sigma=-dF/dt along a solution P(t) of the Fokker-Planck-type evolution -- NOT reduced to a static per-graph scalar anywhere in the source material. No initial condition P(0) or evaluation time is fixed by any registry entry found.</t>
        </is>
      </c>
    </row>
    <row r="6">
      <c r="A6" s="23" t="inlineStr">
        <is>
          <t>Required object</t>
        </is>
      </c>
      <c r="B6" s="23" t="inlineStr">
        <is>
          <t>Status</t>
        </is>
      </c>
      <c r="C6" s="23" t="inlineStr">
        <is>
          <t>Detail</t>
        </is>
      </c>
    </row>
    <row r="7">
      <c r="A7" s="24" t="inlineStr">
        <is>
          <t>delta_spec(G_k) = lambda_1(L_k)</t>
        </is>
      </c>
      <c r="B7" s="24" t="inlineStr">
        <is>
          <t>NOW COMPUTABLE</t>
        </is>
      </c>
      <c r="C7" s="24" t="inlineStr">
        <is>
          <t>Directly available from the complete spectra reconstructed this run (sheet 59). Values: G0=2.000000; G1=0.763932; G2=0.495542; G3=0.391272; G4=0.343152</t>
        </is>
      </c>
    </row>
    <row r="8">
      <c r="A8" s="24" t="inlineStr">
        <is>
          <t>lambda_c,k</t>
        </is>
      </c>
      <c r="B8" s="24" t="inlineStr">
        <is>
          <t>COMPUTABLE (already available)</t>
        </is>
      </c>
      <c r="C8" s="24" t="inlineStr">
        <is>
          <t>Canonical mapping lambda_c=1/t_H, sheet 60. Note: source Bridge B-007 flags the RIGOROUS derivation of lambda_c (C-004, distinct from the 32-boundary-selection question of C-004B) as itself OPEN -- the 1/t_H mapping is used as the project's working convention, not as a source-certified closed form.</t>
        </is>
      </c>
    </row>
    <row r="9">
      <c r="A9" s="24" t="inlineStr">
        <is>
          <t>sigma_k (entropy production, per shell, static number)</t>
        </is>
      </c>
      <c r="B9" s="24" t="inlineStr">
        <is>
          <t>STILL UNDEFINED</t>
        </is>
      </c>
      <c r="C9" s="24" t="inlineStr">
        <is>
          <t>Source defines sigma = -dF/dt dynamically (H-theorem, B-006, CERTIFIED as a theorem about existence and sign) but gives no per-graph static reduction: no fixed initial distribution P(0), no fixed evaluation time, and no closed-form spectral expression is recorded anywhere in the 9-workbook + whitepaper corpus. Computing a specific number here would require choosing P(0) and t -- exactly the invention this run's governing instructions forbid.</t>
        </is>
      </c>
    </row>
    <row r="12">
      <c r="A12" s="32" t="inlineStr">
        <is>
          <t>OPEN-020E.2 OUTCOME (unchanged: D)</t>
        </is>
      </c>
    </row>
    <row r="13" ht="55" customHeight="1">
      <c r="A13" s="24" t="inlineStr">
        <is>
          <t>D. Pi_0(G_k) still cannot be evaluated for any k. The blocking object has narrowed from 'delta_spec and sigma_k both undefined' (v1.1) to 'sigma_k (entropy production) alone undefined as a static per-shell number' -- delta_spec is now fully computed. argmax_k Pi_0(G_k)=3 remains untested; outcome A is not forced.</t>
        </is>
      </c>
    </row>
  </sheetData>
  <mergeCells count="1">
    <mergeCell ref="A13:C13"/>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0" customWidth="1" min="1" max="1"/>
    <col width="40" customWidth="1" min="2" max="2"/>
    <col width="46" customWidth="1" min="3" max="3"/>
    <col width="60" customWidth="1" min="4" max="4"/>
  </cols>
  <sheetData>
    <row r="1">
      <c r="A1" s="21" t="inlineStr">
        <is>
          <t>STATUS UPDATE -- ARBS-CONSTRUCTION-001</t>
        </is>
      </c>
    </row>
    <row r="2">
      <c r="A2" s="22" t="inlineStr"/>
    </row>
    <row r="4">
      <c r="A4" s="23" t="inlineStr">
        <is>
          <t>Object</t>
        </is>
      </c>
      <c r="B4" s="23" t="inlineStr">
        <is>
          <t>v1.1 status</t>
        </is>
      </c>
      <c r="C4" s="23" t="inlineStr">
        <is>
          <t>v1.2 status (this run)</t>
        </is>
      </c>
      <c r="D4" s="23" t="inlineStr">
        <is>
          <t>Basis</t>
        </is>
      </c>
    </row>
    <row r="5">
      <c r="A5" s="24" t="inlineStr">
        <is>
          <t>ARBS-FULL-SPEC-001 / graph construction</t>
        </is>
      </c>
      <c r="B5" s="24" t="inlineStr">
        <is>
          <t>checkpoint / internally consistent (no graph existed)</t>
        </is>
      </c>
      <c r="C5" s="24" t="inlineStr">
        <is>
          <t>DERIVED / VERIFIED</t>
        </is>
      </c>
      <c r="D5" s="24" t="inlineStr">
        <is>
          <t>P1-P11 all PASS for G0-G4 (sheet 58); construction rule matches all structural checkpoints by algebraic necessity (Section 5/6) and the reconstructed positive Dirac spectrum matches all 8 independent numeric checkpoints to &lt;2e-10 (sheet 58).</t>
        </is>
      </c>
    </row>
    <row r="6">
      <c r="A6" s="24" t="inlineStr">
        <is>
          <t>Spectral reconstruction (complete {lambda_k,j})</t>
        </is>
      </c>
      <c r="B6" s="24" t="inlineStr">
        <is>
          <t>OPEN (missing)</t>
        </is>
      </c>
      <c r="C6" s="24" t="inlineStr">
        <is>
          <t>DERIVED / VERIFIED</t>
        </is>
      </c>
      <c r="D6" s="24" t="inlineStr">
        <is>
          <t>Complete Laplacian and positive-Dirac spectra now exist for G0-G4 (sheet 59).</t>
        </is>
      </c>
    </row>
    <row r="7">
      <c r="A7" s="24" t="inlineStr">
        <is>
          <t>C-004B</t>
        </is>
      </c>
      <c r="B7" s="24" t="inlineStr">
        <is>
          <t>FALSIFIED FOR 32-BOUNDARY COMPATIBILITY (partial: lambda_max unknown)</t>
        </is>
      </c>
      <c r="C7" s="24" t="inlineStr">
        <is>
          <t>FALSIFIED FOR 32-BOUNDARY COMPATIBILITY (confirmed, strengthened: N_H(G_k)=0 for ALL k=0..4)</t>
        </is>
      </c>
      <c r="D7" s="24" t="inlineStr">
        <is>
          <t>sheet 60</t>
        </is>
      </c>
    </row>
    <row r="8">
      <c r="A8" s="24" t="inlineStr">
        <is>
          <t>N_H(G0..G4)</t>
        </is>
      </c>
      <c r="B8" s="24" t="inlineStr">
        <is>
          <t>OPEN (missing lambda_max)</t>
        </is>
      </c>
      <c r="C8" s="24" t="inlineStr">
        <is>
          <t>CALCULATED: 0, 0, 0, 0, 0</t>
        </is>
      </c>
      <c r="D8" s="24" t="inlineStr">
        <is>
          <t>sheet 60</t>
        </is>
      </c>
    </row>
    <row r="9">
      <c r="A9" s="24" t="inlineStr">
        <is>
          <t>rank(P_boundary), G3</t>
        </is>
      </c>
      <c r="B9" s="24" t="inlineStr">
        <is>
          <t>OPEN</t>
        </is>
      </c>
      <c r="C9" s="24" t="inlineStr">
        <is>
          <t>CALCULATED: 1 (Laplacian half-open interval); 32 (first-16 nonzero +-sigma Dirac pairs, the correct reading of the '32-state' language)</t>
        </is>
      </c>
      <c r="D9" s="24" t="inlineStr">
        <is>
          <t>sheet 60</t>
        </is>
      </c>
    </row>
    <row r="10">
      <c r="A10" s="24" t="inlineStr">
        <is>
          <t>OPEN-020E.2 / Pi_0(G_k)</t>
        </is>
      </c>
      <c r="B10" s="24" t="inlineStr">
        <is>
          <t>Outcome D (delta_spec AND sigma_k both undefined)</t>
        </is>
      </c>
      <c r="C10" s="24" t="inlineStr">
        <is>
          <t>Outcome D (delta_spec now computed; sigma_k -- entropy production -- remains undefined as a static number)</t>
        </is>
      </c>
      <c r="D10" s="24" t="inlineStr">
        <is>
          <t>sheet 61</t>
        </is>
      </c>
    </row>
    <row r="11">
      <c r="A11" s="24" t="inlineStr">
        <is>
          <t>G* (shell selection)</t>
        </is>
      </c>
      <c r="B11" s="24" t="inlineStr">
        <is>
          <t>UNRESOLVED</t>
        </is>
      </c>
      <c r="C11" s="24" t="inlineStr">
        <is>
          <t>STILL UNRESOLVED</t>
        </is>
      </c>
      <c r="D11" s="24" t="inlineStr">
        <is>
          <t>No computed quantity (N_H, delta_spec, or any other) uniquely distinguishes G3 from G0/G1/G2/G4 this run; N_H is identically 0 for every shell. No uniqueness theorem exists in source. Per Section 21: not promoted because a numerical result looks favorable.</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2" customWidth="1" min="1" max="1"/>
    <col width="40" customWidth="1" min="2" max="2"/>
    <col width="80" customWidth="1" min="3" max="3"/>
  </cols>
  <sheetData>
    <row r="1">
      <c r="A1" s="21" t="inlineStr">
        <is>
          <t>C-004C -- CORPUS SEARCH FOR ENTROPY-PRODUCTION sigma</t>
        </is>
      </c>
    </row>
    <row r="2">
      <c r="A2" s="22" t="inlineStr">
        <is>
          <t>Search executed across all 9 source workbooks + whitepaper for sigma / entropy production / H-theorem / dS/dt / Clausius-Duhem / Onsager / dissipation and equivalent unnamed definitions (Section 6).</t>
        </is>
      </c>
    </row>
    <row r="5">
      <c r="A5" s="23" t="inlineStr">
        <is>
          <t>Found</t>
        </is>
      </c>
      <c r="B5" s="23" t="inlineStr">
        <is>
          <t>Location</t>
        </is>
      </c>
      <c r="C5" s="23" t="inlineStr">
        <is>
          <t>Content</t>
        </is>
      </c>
    </row>
    <row r="6">
      <c r="A6" s="24" t="inlineStr">
        <is>
          <t>YES</t>
        </is>
      </c>
      <c r="B6" s="24" t="inlineStr">
        <is>
          <t>BRIDGE B-006 (CERTIFIED)</t>
        </is>
      </c>
      <c r="C6" s="24" t="inlineStr">
        <is>
          <t>sigma = -dF/dt &gt;= 0, F[P]=int P log(P/P_ss) dmu, H-theorem for Fokker-Planck</t>
        </is>
      </c>
    </row>
    <row r="7">
      <c r="A7" s="24" t="inlineStr">
        <is>
          <t>YES</t>
        </is>
      </c>
      <c r="B7" s="24" t="inlineStr">
        <is>
          <t>DER-TD-004 / TD-004 (CERTIFIED)</t>
        </is>
      </c>
      <c r="C7" s="24" t="inlineStr">
        <is>
          <t>sigma = sum_i J_i X_i &gt;= 0, Onsager flux-force local entropy production</t>
        </is>
      </c>
    </row>
    <row r="8">
      <c r="A8" s="24" t="inlineStr">
        <is>
          <t>YES</t>
        </is>
      </c>
      <c r="B8" s="24" t="inlineStr">
        <is>
          <t>DER-TD-005 / DER-ORG-007 / DER-OPEN-003 (all OPEN)</t>
        </is>
      </c>
      <c r="C8" s="24" t="inlineStr">
        <is>
          <t>Proposed alternate coupling Pi_O=1-exp(-sigma*delta_spec/lambda_c); Pi_O=f(sigma,C,Spec(L)) well-definedness itself registered OPEN</t>
        </is>
      </c>
    </row>
    <row r="9">
      <c r="A9" s="24" t="inlineStr">
        <is>
          <t>YES (negative finding)</t>
        </is>
      </c>
      <c r="B9" s="24" t="inlineStr">
        <is>
          <t>H_FP hyperedge registry</t>
        </is>
      </c>
      <c r="C9" s="24" t="inlineStr">
        <is>
          <t>'Stationary measure requires generator, initial distribution, and domain' -- initial distribution flagged as a required, unsupplied input</t>
        </is>
      </c>
    </row>
    <row r="10">
      <c r="A10" s="24" t="inlineStr">
        <is>
          <t>YES (only precedent)</t>
        </is>
      </c>
      <c r="B10" s="24" t="inlineStr">
        <is>
          <t>BRIDGE B-007 / C-008</t>
        </is>
      </c>
      <c r="C10" s="24" t="inlineStr">
        <is>
          <t>a(0)=e_1 used for K3,3 (a DIFFERENT test graph, not any ARBS shell) as an ad hoc illustrative choice, not a general rule</t>
        </is>
      </c>
    </row>
    <row r="11">
      <c r="A11" s="24" t="inlineStr">
        <is>
          <t>NO</t>
        </is>
      </c>
      <c r="B11" s="24" t="inlineStr">
        <is>
          <t>Any registry entry for a per-shell numeric sigma_k, k=0..4</t>
        </is>
      </c>
      <c r="C11" s="24" t="inlineStr">
        <is>
          <t>Not found anywhere in the 9-workbook + whitepaper corpus</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6" customWidth="1" min="1" max="1"/>
    <col width="34" customWidth="1" min="2" max="2"/>
    <col width="50" customWidth="1" min="3" max="3"/>
    <col width="34" customWidth="1" min="4" max="4"/>
    <col width="34" customWidth="1" min="5" max="5"/>
    <col width="20" customWidth="1" min="6" max="6"/>
    <col width="46" customWidth="1" min="7" max="7"/>
  </cols>
  <sheetData>
    <row r="1">
      <c r="A1" s="21" t="inlineStr">
        <is>
          <t>sigma CANDIDATE PROVENANCE TABLE</t>
        </is>
      </c>
    </row>
    <row r="2">
      <c r="A2" s="22" t="inlineStr"/>
    </row>
    <row r="4">
      <c r="A4" s="23" t="inlineStr">
        <is>
          <t>Candidate ID</t>
        </is>
      </c>
      <c r="B4" s="23" t="inlineStr">
        <is>
          <t>Name</t>
        </is>
      </c>
      <c r="C4" s="23" t="inlineStr">
        <is>
          <t>Exact equation</t>
        </is>
      </c>
      <c r="D4" s="23" t="inlineStr">
        <is>
          <t>IC dependence</t>
        </is>
      </c>
      <c r="E4" s="23" t="inlineStr">
        <is>
          <t>Time dependence</t>
        </is>
      </c>
      <c r="F4" s="23" t="inlineStr">
        <is>
          <t>Target dependence</t>
        </is>
      </c>
      <c r="G4" s="23" t="inlineStr">
        <is>
          <t>Status</t>
        </is>
      </c>
    </row>
    <row r="5">
      <c r="A5" s="24" t="inlineStr">
        <is>
          <t>SIGMA-CAND-001</t>
        </is>
      </c>
      <c r="B5" s="24" t="inlineStr">
        <is>
          <t>H-theorem entropy production (BRIDGE B-006)</t>
        </is>
      </c>
      <c r="C5" s="24" t="inlineStr">
        <is>
          <t>sigma = -dF/dt &gt;= 0, F[P] = integral P log(P/P_ss) dmu, along any solution P(t) of d_t P = L* P</t>
        </is>
      </c>
      <c r="D5" s="24" t="inlineStr">
        <is>
          <t>YES -- P(t) requires P(0); no canonical P(0) is fixed anywhere in the corpus for G_k</t>
        </is>
      </c>
      <c r="E5" s="24" t="inlineStr">
        <is>
          <t>YES -- sigma is a function of t, not a fixed number; no canonical evaluation time or reduction rule (e.g. asymptotic limit, time integral) is specified</t>
        </is>
      </c>
      <c r="F5" s="24" t="inlineStr">
        <is>
          <t>None found (formula contains no downstream object)</t>
        </is>
      </c>
      <c r="G5" s="24" t="inlineStr">
        <is>
          <t>SOURCE-EXACT for the functional FORM and for its sign; CONDITIONAL (not reducible to a number) for any specific numeric value</t>
        </is>
      </c>
    </row>
    <row r="6">
      <c r="A6" s="24" t="inlineStr">
        <is>
          <t>SIGMA-CAND-002</t>
        </is>
      </c>
      <c r="B6" s="24" t="inlineStr">
        <is>
          <t>Onsager local entropy production (DER-TD-004 / TD-004)</t>
        </is>
      </c>
      <c r="C6" s="24" t="inlineStr">
        <is>
          <t>sigma = sum_i J_i X_i &gt;= 0, X_i = grad_i Phi, J_i = sum_j L_{ij} grad_j Phi (Onsager flux-force, TD-003)</t>
        </is>
      </c>
      <c r="D6" s="24" t="inlineStr">
        <is>
          <t>Effectively yes: requires specifying the field Phi (a boundary/driving condition), not fixed for ARBS shells</t>
        </is>
      </c>
      <c r="E6" s="24" t="inlineStr">
        <is>
          <t>Implicit (near-equilibrium instantaneous rate); no canonical evaluation time given</t>
        </is>
      </c>
      <c r="F6" s="24" t="inlineStr">
        <is>
          <t>None found</t>
        </is>
      </c>
      <c r="G6" s="24" t="inlineStr">
        <is>
          <t>SOURCE-EXACT for the generic form; OPEN for any ARBS-shell-specific instantiation (Phi never constructed for G_k)</t>
        </is>
      </c>
    </row>
    <row r="7">
      <c r="A7" s="24" t="inlineStr">
        <is>
          <t>SIGMA-CAND-003</t>
        </is>
      </c>
      <c r="B7" s="24" t="inlineStr">
        <is>
          <t>Proposed alternative Pi_O coupling (DER-TD-005 / DER-ORG-007 / DER-OPEN-003)</t>
        </is>
      </c>
      <c r="C7" s="24" t="inlineStr">
        <is>
          <t>Pi_O = 1 - exp(-sigma * delta_spec / lambda_c)  [proposed, NOT the ratio form (delta_spec-lambda_c)/sigma used in OPEN-020E.2]</t>
        </is>
      </c>
      <c r="D7" s="24" t="inlineStr">
        <is>
          <t>Same as SIGMA-CAND-001</t>
        </is>
      </c>
      <c r="E7" s="24" t="inlineStr">
        <is>
          <t>Same as SIGMA-CAND-001</t>
        </is>
      </c>
      <c r="F7" s="24" t="inlineStr">
        <is>
          <t>None found</t>
        </is>
      </c>
      <c r="G7" s="24" t="inlineStr">
        <is>
          <t>PROPOSED, explicitly OPEN in source (DER-ORG-007, DER-OPEN-003 'Pi_O Rigorous Derivation [OPEN]'). Kept SEPARATE from the OPEN-020E.2 ratio formula per governing instruction not to merge distinct sigma/Pi definitions sharing a symbol; NOT used to close C-004C or OPEN-020E.2.</t>
        </is>
      </c>
    </row>
    <row r="8">
      <c r="A8" s="24" t="inlineStr">
        <is>
          <t>SIGMA-CAND-004</t>
        </is>
      </c>
      <c r="B8" s="24" t="inlineStr">
        <is>
          <t>Asymptotic entropy-production rate (lim t-&gt;infinity sigma(t))</t>
        </is>
      </c>
      <c r="C8" s="24" t="inlineStr">
        <is>
          <t>sigma_infty = lim_{t-&gt;infinity} (-dF/dt)</t>
        </is>
      </c>
      <c r="D8" s="24" t="inlineStr">
        <is>
          <t>n/a</t>
        </is>
      </c>
      <c r="E8" s="24" t="inlineStr">
        <is>
          <t>n/a</t>
        </is>
      </c>
      <c r="F8" s="24" t="inlineStr">
        <is>
          <t>n/a</t>
        </is>
      </c>
      <c r="G8" s="24" t="inlineStr">
        <is>
          <t>REJECTED -- not source-supported, AND degenerate: F(t) -&gt; 0 as t -&gt; P_ss for any admissible generator, so sigma_infty = 0 identically for every shell, making Pi_0 = Delta_k/0 undefined for all k. Recorded only to show it was considered and excluded, not adopted.</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6" customWidth="1" min="1" max="1"/>
    <col width="90" customWidth="1" min="2" max="2"/>
  </cols>
  <sheetData>
    <row r="1">
      <c r="A1" s="21" t="inlineStr">
        <is>
          <t>H-THEOREM ANALYSIS (Section 9)</t>
        </is>
      </c>
    </row>
    <row r="2">
      <c r="A2" s="22" t="inlineStr"/>
    </row>
    <row r="4">
      <c r="A4" s="23" t="inlineStr">
        <is>
          <t>Question</t>
        </is>
      </c>
      <c r="B4" s="23" t="inlineStr">
        <is>
          <t>Answer</t>
        </is>
      </c>
    </row>
    <row r="5">
      <c r="A5" s="24" t="inlineStr">
        <is>
          <t>What is S_k / F[P]?</t>
        </is>
      </c>
      <c r="B5" s="24" t="inlineStr">
        <is>
          <t>F[P] = integral P log(P/P_ss) dmu -- KL divergence of P from the stationary measure P_ss (CERTIFIED, B-006)</t>
        </is>
      </c>
    </row>
    <row r="6">
      <c r="A6" s="24" t="inlineStr">
        <is>
          <t>What is the state variable?</t>
        </is>
      </c>
      <c r="B6" s="24" t="inlineStr">
        <is>
          <t>A time-dependent probability distribution P(t) over the graph's vertex set</t>
        </is>
      </c>
    </row>
    <row r="7">
      <c r="A7" s="24" t="inlineStr">
        <is>
          <t>What evolution equation determines the state?</t>
        </is>
      </c>
      <c r="B7" s="24" t="inlineStr">
        <is>
          <t>d_t P = L* P, a Fokker-Planck-type generator; NOT identified with certainty against the certified combinatorial Laplacian L=D-A (see GAP-GENERATOR-001, sheet 66)</t>
        </is>
      </c>
    </row>
    <row r="8">
      <c r="A8" s="24" t="inlineStr">
        <is>
          <t>What boundary conditions exist?</t>
        </is>
      </c>
      <c r="B8" s="24" t="inlineStr">
        <is>
          <t>None specified for finite ARBS shells</t>
        </is>
      </c>
    </row>
    <row r="9">
      <c r="A9" s="24" t="inlineStr">
        <is>
          <t>What initial conditions exist?</t>
        </is>
      </c>
      <c r="B9" s="24" t="inlineStr">
        <is>
          <t>None fixed canonically; only precedent is an arbitrary a(0)=e_1 on an unrelated test graph (K3,3), sheet 63</t>
        </is>
      </c>
    </row>
    <row r="10">
      <c r="A10" s="24" t="inlineStr">
        <is>
          <t>Is sigma_k uniquely determined by G_k?</t>
        </is>
      </c>
      <c r="B10" s="24" t="inlineStr">
        <is>
          <t>NO -- depends on P(0) and t (and on which generator), none of which G_k alone fixes</t>
        </is>
      </c>
    </row>
    <row r="11">
      <c r="A11" s="24" t="inlineStr">
        <is>
          <t>Is sigma_k constant?</t>
        </is>
      </c>
      <c r="B11" s="24" t="inlineStr">
        <is>
          <t>NO -- sigma(t) is a function of time along the trajectory, generically decreasing to 0 as P(t)-&gt;P_ss</t>
        </is>
      </c>
    </row>
    <row r="12">
      <c r="A12" s="24" t="inlineStr">
        <is>
          <t>Is sigma_k time-dependent?</t>
        </is>
      </c>
      <c r="B12" s="24" t="inlineStr">
        <is>
          <t>YES</t>
        </is>
      </c>
    </row>
    <row r="13">
      <c r="A13" s="24" t="inlineStr">
        <is>
          <t>Is there a canonical evaluation time?</t>
        </is>
      </c>
      <c r="B13" s="24" t="inlineStr">
        <is>
          <t>NOT FOUND in source</t>
        </is>
      </c>
    </row>
    <row r="14">
      <c r="A14" s="24" t="inlineStr">
        <is>
          <t>Is there a canonical shell normalization?</t>
        </is>
      </c>
      <c r="B14" s="24" t="inlineStr">
        <is>
          <t>NOT FOUND in source</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6" customWidth="1" min="1" max="1"/>
    <col width="26" customWidth="1" min="2" max="2"/>
    <col width="90" customWidth="1" min="3" max="3"/>
  </cols>
  <sheetData>
    <row r="1">
      <c r="A1" s="21" t="inlineStr">
        <is>
          <t>INITIAL-CONDITION / GENERATOR AUDIT (Section 13)</t>
        </is>
      </c>
    </row>
    <row r="2">
      <c r="A2" s="22" t="inlineStr"/>
    </row>
    <row r="4">
      <c r="A4" s="23" t="inlineStr">
        <is>
          <t>Required datum</t>
        </is>
      </c>
      <c r="B4" s="23" t="inlineStr">
        <is>
          <t>Canonically fixed by ARBS/UOC?</t>
        </is>
      </c>
      <c r="C4" s="23" t="inlineStr">
        <is>
          <t>Detail</t>
        </is>
      </c>
    </row>
    <row r="5">
      <c r="A5" s="24" t="inlineStr">
        <is>
          <t>P(0) / rho(0) / initial distribution</t>
        </is>
      </c>
      <c r="B5" s="24" t="inlineStr">
        <is>
          <t>NO</t>
        </is>
      </c>
      <c r="C5" s="24" t="inlineStr">
        <is>
          <t>H_FP hyperedge registry explicitly lists it as required-but-unsupplied; only precedent (a(0)=e_1) is example-specific to a different graph</t>
        </is>
      </c>
    </row>
    <row r="6">
      <c r="A6" s="24" t="inlineStr">
        <is>
          <t>Evaluation time t (or reduction rule: asymptotic, integral, etc.)</t>
        </is>
      </c>
      <c r="B6" s="24" t="inlineStr">
        <is>
          <t>NO</t>
        </is>
      </c>
      <c r="C6" s="24" t="inlineStr">
        <is>
          <t>Not specified anywhere</t>
        </is>
      </c>
    </row>
    <row r="7">
      <c r="A7" s="24" t="inlineStr">
        <is>
          <t>Generator L* (Fokker-Planck operator)</t>
        </is>
      </c>
      <c r="B7" s="24" t="inlineStr">
        <is>
          <t>AMBIGUOUS</t>
        </is>
      </c>
      <c r="C7" s="24" t="inlineStr">
        <is>
          <t>BRIDGE B-006 implies a generator whose stationary distribution is the degree distribution d_i/(2|E|); the certified ARBS Laplacian L=D-A (used throughout the rest of the project) has the UNIFORM distribution as its stationary state for a connected graph -- these differ for any non-regular graph, and G0-G4 are not regular. No registry entry reconciles the two.</t>
        </is>
      </c>
    </row>
    <row r="9">
      <c r="A9" s="32" t="inlineStr">
        <is>
          <t>OUTCOME: C -- entropy production is NOT uniquely determined by the current substrate.</t>
        </is>
      </c>
    </row>
  </sheetData>
  <mergeCells count="1">
    <mergeCell ref="A9:C9"/>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00" customWidth="1" min="2" max="2"/>
  </cols>
  <sheetData>
    <row r="1">
      <c r="A1" s="21" t="inlineStr">
        <is>
          <t>DIMENSIONAL CONSISTENCY AUDIT (Section 14)</t>
        </is>
      </c>
    </row>
    <row r="2">
      <c r="A2" s="22" t="inlineStr"/>
    </row>
    <row r="4">
      <c r="A4" s="23" t="inlineStr">
        <is>
          <t>Check</t>
        </is>
      </c>
      <c r="B4" s="23" t="inlineStr">
        <is>
          <t>Result</t>
        </is>
      </c>
    </row>
    <row r="5">
      <c r="A5" s="24" t="inlineStr">
        <is>
          <t>Units of delta_spec, lambda_c</t>
        </is>
      </c>
      <c r="B5" s="24" t="inlineStr">
        <is>
          <t>Both are eigenvalues of the graph Laplacian L -- same units by construction, so (delta_spec-lambda_c) is well-formed</t>
        </is>
      </c>
    </row>
    <row r="6">
      <c r="A6" s="24" t="inlineStr">
        <is>
          <t>Units of sigma = -dF/dt</t>
        </is>
      </c>
      <c r="B6" s="24" t="inlineStr">
        <is>
          <t>F[P] is a KL divergence (dimensionless, in nats). t is paired with L's eigenvalues via exp(-t*lambda) (t has units of 1/[lambda]). Therefore d(dimensionless)/d(1/[lambda]) has units of [lambda] -- matching delta_spec and lambda_c.</t>
        </is>
      </c>
    </row>
    <row r="7">
      <c r="A7" s="24" t="inlineStr">
        <is>
          <t>Verdict</t>
        </is>
      </c>
      <c r="B7" s="24" t="inlineStr">
        <is>
          <t>PASSES structurally -- sigma's units are consistent with delta_spec/lambda_c IF the same generator/time convention is used throughout. This says nothing about sigma's VALUE, which remains undetermined (sheet 66).</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 width="100" customWidth="1" min="2" max="2"/>
  </cols>
  <sheetData>
    <row r="1">
      <c r="A1" s="21" t="inlineStr">
        <is>
          <t>TARGET-INDEPENDENCE AUDIT (Section 12)</t>
        </is>
      </c>
    </row>
    <row r="2">
      <c r="A2" s="22" t="inlineStr"/>
    </row>
    <row r="4">
      <c r="A4" s="23" t="inlineStr">
        <is>
          <t>Candidate</t>
        </is>
      </c>
      <c r="B4" s="23" t="inlineStr">
        <is>
          <t>d(sigma)/d(N_H, H_F, D_F, J_F, gamma_F, Y_u, Y_d, Y_e, Y_nu, V_CKM, U_PMNS, Xi_obs)</t>
        </is>
      </c>
    </row>
    <row r="5">
      <c r="A5" s="24" t="inlineStr">
        <is>
          <t>SIGMA-CAND-001 (H-theorem)</t>
        </is>
      </c>
      <c r="B5" s="24">
        <f> 0 for every listed quantity -- the formula contains no downstream object, no fitted constant</f>
        <v/>
      </c>
    </row>
    <row r="6">
      <c r="A6" s="24" t="inlineStr">
        <is>
          <t>SIGMA-CAND-002 (Onsager)</t>
        </is>
      </c>
      <c r="B6" s="24">
        <f> 0 for every listed quantity by the same argument</f>
        <v/>
      </c>
    </row>
    <row r="7">
      <c r="A7" s="24" t="inlineStr">
        <is>
          <t>SIGMA-CAND-003 (proposed alt. coupling)</t>
        </is>
      </c>
      <c r="B7" s="24">
        <f> 0 structurally, but candidate itself is OPEN/PROPOSED in source, not admitted</f>
        <v/>
      </c>
    </row>
    <row r="9" ht="30" customHeight="1">
      <c r="A9" s="22" t="inlineStr">
        <is>
          <t>All candidates PASS target-independence. This audit does not resolve non-identifiability; it only confirms the free data (P(0), t, generator) are not secretly encoding a downstream target.</t>
        </is>
      </c>
    </row>
  </sheetData>
  <mergeCells count="1">
    <mergeCell ref="A9:B9"/>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0" customWidth="1" min="1" max="1"/>
    <col width="14" customWidth="1" min="2" max="2"/>
    <col width="90" customWidth="1" min="3" max="3"/>
  </cols>
  <sheetData>
    <row r="1">
      <c r="A1" s="21" t="inlineStr">
        <is>
          <t>SIGN RESULT AND PARAMETER-DEPENDENCE DEMONSTRATION</t>
        </is>
      </c>
    </row>
    <row r="2">
      <c r="A2" s="22" t="inlineStr">
        <is>
          <t>Section 16/17. Illustrative demonstration only -- no choice here is canonical.</t>
        </is>
      </c>
    </row>
    <row r="5">
      <c r="A5" s="23" t="inlineStr">
        <is>
          <t>Result</t>
        </is>
      </c>
      <c r="B5" s="23" t="inlineStr">
        <is>
          <t>Value</t>
        </is>
      </c>
    </row>
    <row r="6">
      <c r="A6" s="24" t="inlineStr">
        <is>
          <t>sigma_k &gt; 0 (generic case, any admissible generator/IC)</t>
        </is>
      </c>
      <c r="B6" s="24" t="inlineStr">
        <is>
          <t>PROVEN (H-theorem, BRIDGE B-006)</t>
        </is>
      </c>
    </row>
    <row r="7">
      <c r="A7" s="24" t="inlineStr">
        <is>
          <t>delta_spec(G_k) - lambda_c,k, all k</t>
        </is>
      </c>
      <c r="B7" s="24" t="inlineStr">
        <is>
          <t>&lt; 0 for every k=0..4 (established prior run)</t>
        </is>
      </c>
    </row>
    <row r="8">
      <c r="A8" s="24" t="inlineStr">
        <is>
          <t>Pi_0(G_k), all k</t>
        </is>
      </c>
      <c r="B8" s="24" t="inlineStr">
        <is>
          <t>&lt; 0 for every k=0..4 (sign only; magnitude undetermined)</t>
        </is>
      </c>
    </row>
    <row r="11">
      <c r="A11" s="30" t="inlineStr">
        <is>
          <t>Illustrative argmax_k Pi_0(G_k) under 6 sampled (P(0), t) combinations (certified heat semigroup exp(-tL), uniform P_ss):</t>
        </is>
      </c>
    </row>
    <row r="12">
      <c r="A12" s="23" t="inlineStr">
        <is>
          <t>(P(0), t) combination</t>
        </is>
      </c>
      <c r="B12" s="23" t="inlineStr">
        <is>
          <t>argmax shell</t>
        </is>
      </c>
      <c r="C12" s="23" t="inlineStr">
        <is>
          <t>Pi0 values (all shells)</t>
        </is>
      </c>
    </row>
    <row r="13">
      <c r="A13" s="24" t="inlineStr">
        <is>
          <t>first_node_(shell0_L)_t=0.05</t>
        </is>
      </c>
      <c r="B13" s="24" t="inlineStr">
        <is>
          <t>G0</t>
        </is>
      </c>
      <c r="C13" s="24" t="inlineStr">
        <is>
          <t>{"G0": -1.3907111665109315, "G1": -2.0952359533051665, "G2": -3.8696327232358727, "G3": -7.322828234108239, "G4": -14.158779571109376}</t>
        </is>
      </c>
    </row>
    <row r="14">
      <c r="A14" s="24" t="inlineStr">
        <is>
          <t>first_node_(shell0_L)_t=0.2</t>
        </is>
      </c>
      <c r="B14" s="24" t="inlineStr">
        <is>
          <t>G1</t>
        </is>
      </c>
      <c r="C14" s="24" t="inlineStr">
        <is>
          <t>{"G0": -3.466766877052473, "G1": -3.364672818305688, "G2": -6.093200229841027, "G3": -11.520677198911429, "G4": -22.274107531518503}</t>
        </is>
      </c>
    </row>
    <row r="15">
      <c r="A15" s="24" t="inlineStr">
        <is>
          <t>first_node_(shell0_L)_t=0.6</t>
        </is>
      </c>
      <c r="B15" s="24" t="inlineStr">
        <is>
          <t>G1</t>
        </is>
      </c>
      <c r="C15" s="24" t="inlineStr">
        <is>
          <t>{"G0": -20.13855266493977, "G1": -6.485849609507978, "G2": -9.591471524889407, "G3": -17.353028631746803, "G4": -33.15137915129334}</t>
        </is>
      </c>
    </row>
    <row r="16">
      <c r="A16" s="24" t="inlineStr">
        <is>
          <t>last_node_(topshell_R)_t=0.05</t>
        </is>
      </c>
      <c r="B16" s="24" t="inlineStr">
        <is>
          <t>G2</t>
        </is>
      </c>
      <c r="C16" s="24" t="inlineStr">
        <is>
          <t>{"G0": -1.3907111665109315, "G1": -1.136160361358098, "G2": -1.0721377684727906, "G3": -1.156074698522109, "G4": -1.6301752536521619}</t>
        </is>
      </c>
    </row>
    <row r="17">
      <c r="A17" s="24" t="inlineStr">
        <is>
          <t>last_node_(topshell_R)_t=0.2</t>
        </is>
      </c>
      <c r="B17" s="24" t="inlineStr">
        <is>
          <t>G1</t>
        </is>
      </c>
      <c r="C17" s="24" t="inlineStr">
        <is>
          <t>{"G0": -3.466766877052473, "G1": -2.4422008972033353, "G2": -3.000729148497908, "G3": -6.4835720457917425, "G4": -31.5669047459178}</t>
        </is>
      </c>
    </row>
    <row r="18">
      <c r="A18" s="24" t="inlineStr">
        <is>
          <t>last_node_(topshell_R)_t=0.6</t>
        </is>
      </c>
      <c r="B18" s="24" t="inlineStr">
        <is>
          <t>G1</t>
        </is>
      </c>
      <c r="C18" s="24" t="inlineStr">
        <is>
          <t>{"G0": -20.13855266493977, "G1": -9.646292996427476, "G2": -25.292594245204906, "G3": -100.33567737465187, "G4": -284.8717739794833}</t>
        </is>
      </c>
    </row>
    <row r="20" ht="55" customHeight="1">
      <c r="A20" s="22" t="inlineStr">
        <is>
          <t>Result: argmax takes 3 different values (G0, G1, G2) across 6 illustrative samples. This is a concrete existence proof of parameter-dependence -- confirms Section 17's 'Parameter-dependent ranking' outcome. It is not a claim about the true ranking under any canonical choice, because no such choice exists in the source material.</t>
        </is>
      </c>
    </row>
  </sheetData>
  <mergeCells count="1">
    <mergeCell ref="A20:C20"/>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6" customWidth="1" min="1" max="1"/>
    <col width="90" customWidth="1" min="2" max="2"/>
  </cols>
  <sheetData>
    <row r="1">
      <c r="A1" s="21" t="inlineStr">
        <is>
          <t>C-004C FINAL CLOSURE</t>
        </is>
      </c>
    </row>
    <row r="2">
      <c r="A2" s="22" t="inlineStr"/>
    </row>
    <row r="4">
      <c r="A4" s="23" t="inlineStr">
        <is>
          <t>Object</t>
        </is>
      </c>
      <c r="B4" s="23" t="inlineStr">
        <is>
          <t>Status</t>
        </is>
      </c>
    </row>
    <row r="5">
      <c r="A5" s="24" t="inlineStr">
        <is>
          <t>sigma_k (specific per-shell number)</t>
        </is>
      </c>
      <c r="B5" s="24" t="inlineStr">
        <is>
          <t>PROVEN NON-IDENTIFIABLE</t>
        </is>
      </c>
    </row>
    <row r="6">
      <c r="A6" s="24" t="inlineStr">
        <is>
          <t>sigma_k (sign)</t>
        </is>
      </c>
      <c r="B6" s="24" t="inlineStr">
        <is>
          <t>PROVEN SIGN-ONLY: sigma_k &gt; 0 (generic case)</t>
        </is>
      </c>
    </row>
    <row r="7">
      <c r="A7" s="24" t="inlineStr">
        <is>
          <t>Pi_0(G_k) magnitude/ranking</t>
        </is>
      </c>
      <c r="B7" s="24" t="inlineStr">
        <is>
          <t>OPEN</t>
        </is>
      </c>
    </row>
    <row r="8">
      <c r="A8" s="24" t="inlineStr">
        <is>
          <t>Pi_0(G_k) sign</t>
        </is>
      </c>
      <c r="B8" s="24" t="inlineStr">
        <is>
          <t>PROVEN SIGN-ONLY: Pi_0(G_k) &lt; 0 for all k=0..4</t>
        </is>
      </c>
    </row>
    <row r="9">
      <c r="A9" s="24" t="inlineStr">
        <is>
          <t>OPEN-020E.2</t>
        </is>
      </c>
      <c r="B9" s="24" t="inlineStr">
        <is>
          <t>REMAINS OPEN -- argmax_k Pi_0(G_k) not evaluable; demonstrated parameter-dependent</t>
        </is>
      </c>
    </row>
    <row r="10">
      <c r="A10" s="24" t="inlineStr">
        <is>
          <t>G*</t>
        </is>
      </c>
      <c r="B10" s="24" t="inlineStr">
        <is>
          <t>UNRESOLVED (unchanged)</t>
        </is>
      </c>
    </row>
    <row r="11">
      <c r="A11" s="24" t="inlineStr">
        <is>
          <t>GAP-GENERATOR-001 (new)</t>
        </is>
      </c>
      <c r="B11" s="24" t="inlineStr">
        <is>
          <t>OPEN -- generator ambiguity between BRIDGE B-006's degree-distribution P_ss and the certified combinatorial Laplacian's uniform stationary state</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90" customWidth="1" min="2" max="2"/>
  </cols>
  <sheetData>
    <row r="1">
      <c r="A1" s="21" t="inlineStr">
        <is>
          <t>OPEN-020E.2 UPDATED AUDIT (post C-004C)</t>
        </is>
      </c>
    </row>
    <row r="2">
      <c r="A2" s="22" t="inlineStr"/>
    </row>
    <row r="4">
      <c r="A4" s="23" t="inlineStr">
        <is>
          <t>Component</t>
        </is>
      </c>
      <c r="B4" s="23" t="inlineStr">
        <is>
          <t>Status this run</t>
        </is>
      </c>
    </row>
    <row r="5">
      <c r="A5" s="24" t="inlineStr">
        <is>
          <t>delta_spec(G_k)</t>
        </is>
      </c>
      <c r="B5" s="24" t="inlineStr">
        <is>
          <t>CALCULATED (prior run: = lambda_1(L_k) for each shell)</t>
        </is>
      </c>
    </row>
    <row r="6">
      <c r="A6" s="24" t="inlineStr">
        <is>
          <t>lambda_c,k</t>
        </is>
      </c>
      <c r="B6" s="24" t="inlineStr">
        <is>
          <t>CALCULATED (prior run: = 1/t_H,k)</t>
        </is>
      </c>
    </row>
    <row r="7">
      <c r="A7" s="24" t="inlineStr">
        <is>
          <t>sigma_k</t>
        </is>
      </c>
      <c r="B7" s="24" t="inlineStr">
        <is>
          <t>PROVEN NON-IDENTIFIABLE (this run) -- sign only, sigma_k &gt; 0</t>
        </is>
      </c>
    </row>
    <row r="8">
      <c r="A8" s="24" t="inlineStr">
        <is>
          <t>Pi_0(G_k)</t>
        </is>
      </c>
      <c r="B8" s="24" t="inlineStr">
        <is>
          <t>Sign derived: &lt; 0 for all k. Magnitude/ranking: OPEN</t>
        </is>
      </c>
    </row>
    <row r="9">
      <c r="A9" s="24" t="inlineStr">
        <is>
          <t>argmax_k Pi_0(G_k) = 3 ?</t>
        </is>
      </c>
      <c r="B9" s="24" t="inlineStr">
        <is>
          <t>NOT TESTABLE -- outcome D persists: cannot be evaluated because sigma_k is undetermined</t>
        </is>
      </c>
    </row>
    <row r="10">
      <c r="A10" s="24" t="inlineStr">
        <is>
          <t>G* = G3 promotion</t>
        </is>
      </c>
      <c r="B10" s="24" t="inlineStr">
        <is>
          <t>NOT PERFORMED</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6" customWidth="1" min="1" max="1"/>
    <col width="40" customWidth="1" min="2" max="2"/>
    <col width="60" customWidth="1" min="3" max="3"/>
    <col width="30" customWidth="1" min="4" max="4"/>
  </cols>
  <sheetData>
    <row r="1">
      <c r="A1" s="21" t="inlineStr">
        <is>
          <t>C-004D OPERATOR REGISTRY</t>
        </is>
      </c>
    </row>
    <row r="2">
      <c r="A2" s="22" t="inlineStr">
        <is>
          <t>Audit of every symbol the corpus uses in a generator role (Section 12), disambiguated.</t>
        </is>
      </c>
    </row>
    <row r="4">
      <c r="A4" s="23" t="inlineStr">
        <is>
          <t>Symbol as used in corpus</t>
        </is>
      </c>
      <c r="B4" s="23" t="inlineStr">
        <is>
          <t>Corpus occurrence</t>
        </is>
      </c>
      <c r="C4" s="23" t="inlineStr">
        <is>
          <t>Disambiguated meaning</t>
        </is>
      </c>
      <c r="D4" s="23" t="inlineStr">
        <is>
          <t>This run's notation</t>
        </is>
      </c>
    </row>
    <row r="5">
      <c r="A5" s="24" t="inlineStr">
        <is>
          <t>L = D-A</t>
        </is>
      </c>
      <c r="B5" s="24" t="inlineStr">
        <is>
          <t>DER-SPC-002, GEO-001 (CERTIFIED)</t>
        </is>
      </c>
      <c r="C5" s="24" t="inlineStr">
        <is>
          <t>Structural/spectral graph Laplacian, symmetric, L&gt;=0, L1=0</t>
        </is>
      </c>
      <c r="D5" s="24" t="inlineStr">
        <is>
          <t>L</t>
        </is>
      </c>
    </row>
    <row r="6">
      <c r="A6" s="24" t="inlineStr">
        <is>
          <t>H(t)=e^{-tL}, T_t=e^{tL}</t>
        </is>
      </c>
      <c r="B6" s="24" t="inlineStr">
        <is>
          <t>DER-SPC-004, row 2022-2024</t>
        </is>
      </c>
      <c r="C6" s="24" t="inlineStr">
        <is>
          <t>Heat/diffusion semigroup generated by -L; its generator is literally -L</t>
        </is>
      </c>
      <c r="D6" s="24" t="inlineStr">
        <is>
          <t>H(t) = exp(-tL)</t>
        </is>
      </c>
    </row>
    <row r="7">
      <c r="A7" s="24" t="inlineStr">
        <is>
          <t>'The generator is -L for the continuous-time random walk' (row 2024)</t>
        </is>
      </c>
      <c r="B7" s="24" t="inlineStr">
        <is>
          <t>Markov Semigroup entry</t>
        </is>
      </c>
      <c r="C7" s="24" t="inlineStr">
        <is>
          <t>Asserted, but INCONSISTENT with B-005 for irregular graphs -- see 73 sheet</t>
        </is>
      </c>
      <c r="D7" s="24" t="inlineStr">
        <is>
          <t>flagged as GAP-GENERATOR-001</t>
        </is>
      </c>
    </row>
    <row r="8">
      <c r="A8" s="24" t="inlineStr">
        <is>
          <t>L*, L*P (Fokker-Planck)</t>
        </is>
      </c>
      <c r="B8" s="24" t="inlineStr">
        <is>
          <t>row 2013, 2033-2034; BRIDGE B-005 (CERTIFIED); BRIDGE B-006 (CERTIFIED)</t>
        </is>
      </c>
      <c r="C8" s="24" t="inlineStr">
        <is>
          <t>Adjoint/forward generator of a Markov evolution with stationary measure P_ss=d/(2|E|), reversible via detailed balance</t>
        </is>
      </c>
      <c r="D8" s="24" t="inlineStr">
        <is>
          <t>L*_therm</t>
        </is>
      </c>
    </row>
    <row r="9">
      <c r="A9" s="24" t="inlineStr">
        <is>
          <t>D^{-1}L, LD^{-1}</t>
        </is>
      </c>
      <c r="B9" s="24" t="inlineStr">
        <is>
          <t>NOT written explicitly anywhere in the corpus</t>
        </is>
      </c>
      <c r="C9" s="24" t="inlineStr">
        <is>
          <t>Derived this run as the unique reversible-chain generator/adjoint compatible with the graph's own edges and B-005's stated P_ss (Section 5)</t>
        </is>
      </c>
      <c r="D9" s="24" t="inlineStr">
        <is>
          <t>Q = -D^{-1}L (generator); Q* = Q^T = -LD^{-1} (adjoint)</t>
        </is>
      </c>
    </row>
    <row r="10">
      <c r="A10" s="24" t="inlineStr">
        <is>
          <t>Delta_M = lim L_n (continuum Laplace-Beltrami)</t>
        </is>
      </c>
      <c r="B10" s="24" t="inlineStr">
        <is>
          <t>row 2027, BRIDGE B-004 (OPEN)</t>
        </is>
      </c>
      <c r="C10" s="24" t="inlineStr">
        <is>
          <t>A DIFFERENT operator: the continuum limit of the NORMALIZED Laplacian under graph refinement, unrelated to the finite-shell generator question here</t>
        </is>
      </c>
      <c r="D10" s="24" t="inlineStr">
        <is>
          <t>Delta_M (out of scope for C-004D)</t>
        </is>
      </c>
    </row>
    <row r="11">
      <c r="A11" s="24" t="inlineStr">
        <is>
          <t>L_norm = D^{-1/2}LD^{-1/2}</t>
        </is>
      </c>
      <c r="B11" s="24" t="inlineStr">
        <is>
          <t>Not named in corpus; standard graph-theory object, constructed this run from certified L, D</t>
        </is>
      </c>
      <c r="C11" s="24" t="inlineStr">
        <is>
          <t>Symmetric normalized Laplacian, similar to -Q</t>
        </is>
      </c>
      <c r="D11" s="24" t="inlineStr">
        <is>
          <t>L_norm</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 customWidth="1" min="1" max="1"/>
    <col width="90" customWidth="1" min="2" max="2"/>
    <col width="40" customWidth="1" min="3" max="3"/>
  </cols>
  <sheetData>
    <row r="1">
      <c r="A1" s="21" t="inlineStr">
        <is>
          <t>THE TEXTUAL INCONSISTENCY IN THE SOURCE CORPUS</t>
        </is>
      </c>
    </row>
    <row r="2">
      <c r="A2" s="22" t="inlineStr">
        <is>
          <t>Quoted verbatim, both sides.</t>
        </is>
      </c>
    </row>
    <row r="4">
      <c r="A4" s="23" t="inlineStr">
        <is>
          <t>Claim</t>
        </is>
      </c>
      <c r="B4" s="23" t="inlineStr">
        <is>
          <t>Exact source text</t>
        </is>
      </c>
      <c r="C4" s="23" t="inlineStr">
        <is>
          <t>Location</t>
        </is>
      </c>
    </row>
    <row r="5">
      <c r="A5" s="24" t="inlineStr">
        <is>
          <t>A</t>
        </is>
      </c>
      <c r="B5" s="24" t="inlineStr">
        <is>
          <t>'T_t = e^{tL} | Markov Semigroup | Forward-time semigroup. ... The generator is -L for the continuous-time random walk.'</t>
        </is>
      </c>
      <c r="C5" s="24" t="inlineStr">
        <is>
          <t>54_SOURCE_TEXT_CORPUS row 2024</t>
        </is>
      </c>
    </row>
    <row r="6">
      <c r="A6" s="24" t="inlineStr">
        <is>
          <t>B</t>
        </is>
      </c>
      <c r="B6" s="24" t="inlineStr">
        <is>
          <t>'BRIDGE B-005: L* -&gt; P_ss: Invariant Measure Existence (CERTIFIED). Statement: For the Fokker-Planck operator L* associated to the graph Laplacian, the stationary measure P_ss exists, is unique for connected G, and equals P_ss(i)=d_i/(2|E|) (degree distribution). Proof: Perron-Frobenius theorem applied to the transition matrix. ... The detailed balance condition gives the explicit form.'</t>
        </is>
      </c>
      <c r="C6" s="24" t="inlineStr">
        <is>
          <t>54_SOURCE_TEXT_CORPUS rows 1954-1957, confirmed again row 2137</t>
        </is>
      </c>
    </row>
    <row r="8">
      <c r="A8" s="30" t="inlineStr">
        <is>
          <t>Resolution (this run, Theorem C-004D.1):</t>
        </is>
      </c>
    </row>
    <row r="9" ht="90" customHeight="1">
      <c r="A9" s="24" t="inlineStr">
        <is>
          <t>Claims A and B are mutually consistent ONLY if the graph is regular (all degrees equal), in which case D=dI is a scalar multiple of the identity and -D^{-1}L=-L/d, the same operator up to a constant time-rescaling. For irregular graphs, ker(L)=span{1} forces -L's stationary distribution to be UNIFORM, not degree-weighted, contradicting claim B's own certified P_ss=d/(2|E|) unless the generator is instead D^{-1}L/its adjoint. Verified for G0-G4 below (sheet 75): G0 is regular (both claims coincide exactly); G1-G4 are irregular (claims genuinely diverge, confirmed by direct matrix and spectral comparison).</t>
        </is>
      </c>
    </row>
  </sheetData>
  <mergeCells count="1">
    <mergeCell ref="A9:C9"/>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8" customWidth="1" min="1" max="1"/>
    <col width="6" customWidth="1" min="2" max="2"/>
    <col width="6" customWidth="1" min="3" max="3"/>
    <col width="10" customWidth="1" min="4" max="4"/>
    <col width="20" customWidth="1" min="5" max="5"/>
    <col width="20" customWidth="1" min="6" max="6"/>
    <col width="18" customWidth="1" min="7" max="7"/>
    <col width="20" customWidth="1" min="8" max="8"/>
    <col width="16" customWidth="1" min="9" max="9"/>
    <col width="16" customWidth="1" min="10" max="10"/>
    <col width="12" customWidth="1" min="11" max="11"/>
  </cols>
  <sheetData>
    <row r="1">
      <c r="A1" s="21" t="inlineStr">
        <is>
          <t>STATIONARY MEASURE RECONCILIATION</t>
        </is>
      </c>
    </row>
    <row r="2">
      <c r="A2" s="22" t="inlineStr">
        <is>
          <t>Section 9. Computed for G0-G4.</t>
        </is>
      </c>
    </row>
    <row r="4">
      <c r="A4" s="23" t="inlineStr">
        <is>
          <t>Shell</t>
        </is>
      </c>
      <c r="B4" s="23" t="inlineStr">
        <is>
          <t>N</t>
        </is>
      </c>
      <c r="C4" s="23" t="inlineStr">
        <is>
          <t>E</t>
        </is>
      </c>
      <c r="D4" s="23" t="inlineStr">
        <is>
          <t>Regular?</t>
        </is>
      </c>
      <c r="E4" s="23" t="inlineStr">
        <is>
          <t>||L*1|| (=0 expect)</t>
        </is>
      </c>
      <c r="F4" s="23" t="inlineStr">
        <is>
          <t>||-L*Punif|| (=0 expect)</t>
        </is>
      </c>
      <c r="G4" s="23" t="inlineStr">
        <is>
          <t>||Q* * d|| (=0 expect)</t>
        </is>
      </c>
      <c r="H4" s="23" t="inlineStr">
        <is>
          <t>||Q* * Pdeg|| (=0 expect)</t>
        </is>
      </c>
      <c r="I4" s="23" t="inlineStr">
        <is>
          <t>||Punif-Pdeg||_1</t>
        </is>
      </c>
      <c r="J4" s="23" t="inlineStr">
        <is>
          <t>||Punif-Pdeg||_2</t>
        </is>
      </c>
      <c r="K4" s="23" t="inlineStr">
        <is>
          <t>Punif==Pdeg?</t>
        </is>
      </c>
    </row>
    <row r="5">
      <c r="A5" s="24" t="inlineStr">
        <is>
          <t>G0</t>
        </is>
      </c>
      <c r="B5" s="24" t="n">
        <v>2</v>
      </c>
      <c r="C5" s="24" t="n">
        <v>1</v>
      </c>
      <c r="D5" s="24" t="b">
        <v>1</v>
      </c>
      <c r="E5" s="24" t="n">
        <v>0</v>
      </c>
      <c r="F5" s="24" t="n">
        <v>0</v>
      </c>
      <c r="G5" s="24" t="n">
        <v>0</v>
      </c>
      <c r="H5" s="24" t="n">
        <v>0</v>
      </c>
      <c r="I5" s="24" t="n">
        <v>0</v>
      </c>
      <c r="J5" s="24" t="n">
        <v>0</v>
      </c>
      <c r="K5" s="24" t="b">
        <v>1</v>
      </c>
    </row>
    <row r="6">
      <c r="A6" s="24" t="inlineStr">
        <is>
          <t>G1</t>
        </is>
      </c>
      <c r="B6" s="24" t="n">
        <v>6</v>
      </c>
      <c r="C6" s="24" t="n">
        <v>7</v>
      </c>
      <c r="D6" s="24" t="b">
        <v>0</v>
      </c>
      <c r="E6" s="24" t="n">
        <v>0</v>
      </c>
      <c r="F6" s="24" t="n">
        <v>9.614813431917819e-17</v>
      </c>
      <c r="G6" s="24" t="n">
        <v>5.551115123125783e-17</v>
      </c>
      <c r="H6" s="24" t="n">
        <v>3.96508223080413e-18</v>
      </c>
      <c r="I6" s="24" t="n">
        <v>0.2857142857142857</v>
      </c>
      <c r="J6" s="24" t="n">
        <v>0.1304101327393253</v>
      </c>
      <c r="K6" s="24" t="b">
        <v>0</v>
      </c>
    </row>
    <row r="7">
      <c r="A7" s="24" t="inlineStr">
        <is>
          <t>G2</t>
        </is>
      </c>
      <c r="B7" s="24" t="n">
        <v>14</v>
      </c>
      <c r="C7" s="24" t="n">
        <v>31</v>
      </c>
      <c r="D7" s="24" t="b">
        <v>0</v>
      </c>
      <c r="E7" s="24" t="n">
        <v>0</v>
      </c>
      <c r="F7" s="24" t="n">
        <v>3.925231146709438e-17</v>
      </c>
      <c r="G7" s="24" t="n">
        <v>5.551115123125783e-17</v>
      </c>
      <c r="H7" s="24" t="n">
        <v>8.953411488912552e-19</v>
      </c>
      <c r="I7" s="24" t="n">
        <v>0.304147465437788</v>
      </c>
      <c r="J7" s="24" t="n">
        <v>0.09325394628962239</v>
      </c>
      <c r="K7" s="24" t="b">
        <v>0</v>
      </c>
    </row>
    <row r="8">
      <c r="A8" s="24" t="inlineStr">
        <is>
          <t>G3</t>
        </is>
      </c>
      <c r="B8" s="24" t="n">
        <v>30</v>
      </c>
      <c r="C8" s="24" t="n">
        <v>127</v>
      </c>
      <c r="D8" s="24" t="b">
        <v>0</v>
      </c>
      <c r="E8" s="24" t="n">
        <v>0</v>
      </c>
      <c r="F8" s="24" t="n">
        <v>1.288842339867057e-16</v>
      </c>
      <c r="G8" s="24" t="n">
        <v>5.551115123125783e-17</v>
      </c>
      <c r="H8" s="24" t="n">
        <v>2.18547839493141e-19</v>
      </c>
      <c r="I8" s="24" t="n">
        <v>0.3338582677165354</v>
      </c>
      <c r="J8" s="24" t="n">
        <v>0.07189397520530266</v>
      </c>
      <c r="K8" s="24" t="b">
        <v>0</v>
      </c>
    </row>
    <row r="9">
      <c r="A9" s="24" t="inlineStr">
        <is>
          <t>G4</t>
        </is>
      </c>
      <c r="B9" s="24" t="n">
        <v>62</v>
      </c>
      <c r="C9" s="24" t="n">
        <v>511</v>
      </c>
      <c r="D9" s="24" t="b">
        <v>0</v>
      </c>
      <c r="E9" s="24" t="n">
        <v>0</v>
      </c>
      <c r="F9" s="24" t="n">
        <v>3.954560803480502e-16</v>
      </c>
      <c r="G9" s="24" t="n">
        <v>5.551115123125783e-17</v>
      </c>
      <c r="H9" s="24" t="n">
        <v>5.431619494252233e-20</v>
      </c>
      <c r="I9" s="24" t="n">
        <v>0.3530080171706331</v>
      </c>
      <c r="J9" s="24" t="n">
        <v>0.05399794797283575</v>
      </c>
      <c r="K9" s="24" t="b">
        <v>0</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60" customWidth="1" min="1" max="1"/>
    <col width="60" customWidth="1" min="2" max="2"/>
  </cols>
  <sheetData>
    <row r="1">
      <c r="A1" s="21" t="inlineStr">
        <is>
          <t>RANDOM-WALK GENERATOR DERIVATION</t>
        </is>
      </c>
    </row>
    <row r="2">
      <c r="A2" s="22" t="inlineStr">
        <is>
          <t>Section 5. Given: graph edges (A_ij in {0,1}), degree matrix D, and the detailed-balance condition explicitly invoked in BRIDGE B-005's own proof sketch. The unique reversible continuous-time Markov chain with rates supported exactly on the graph's edges, detail-balanced w.r.t. the CERTIFIED P_ss=d/(2|E|), and using no parameters beyond A and D, has rate matrix Lambda_ij = A_ij/d_i (i != j). Verification: pi_i*Lambda_ij = (d_i/2E)(A_ij/d_i) = A_ij/2E = A_ji/2E = pi_j*Lambda_ji (detailed balance holds exactly, since A is symmetric). This gives generator Lambda = D^{-1}A - I = -D^{-1}(D-A) = -D^{-1}L = Q. This is the standard 'simple random walk' generator; it is derived here from the source's own detailed-balance condition, not imported from an external formulation.</t>
        </is>
      </c>
    </row>
    <row r="8">
      <c r="A8" s="23" t="inlineStr">
        <is>
          <t>Step</t>
        </is>
      </c>
      <c r="B8" s="23" t="inlineStr">
        <is>
          <t>Result</t>
        </is>
      </c>
    </row>
    <row r="9">
      <c r="A9" s="24" t="inlineStr">
        <is>
          <t>1. Reversibility condition (source: B-005 proof, 'detailed balance condition')</t>
        </is>
      </c>
      <c r="B9" s="24" t="inlineStr">
        <is>
          <t>pi_i * Lambda_ij = pi_j * Lambda_ji for all i,j</t>
        </is>
      </c>
    </row>
    <row r="10">
      <c r="A10" s="24" t="inlineStr">
        <is>
          <t>2. Impose pi = P_ss = d/(2|E|) (source: B-005 statement, CERTIFIED)</t>
        </is>
      </c>
      <c r="B10" s="24" t="inlineStr">
        <is>
          <t>(d_i/2E) Lambda_ij = (d_j/2E) Lambda_ji</t>
        </is>
      </c>
    </row>
    <row r="11">
      <c r="A11" s="24" t="inlineStr">
        <is>
          <t>3. Restrict rates to the graph's own edges, simplest law</t>
        </is>
      </c>
      <c r="B11" s="24" t="inlineStr">
        <is>
          <t>Lambda_ij = A_ij / d_i for i != j</t>
        </is>
      </c>
    </row>
    <row r="12">
      <c r="A12" s="24" t="inlineStr">
        <is>
          <t>4. Verify detailed balance holds exactly</t>
        </is>
      </c>
      <c r="B12" s="24" t="inlineStr">
        <is>
          <t>(d_i/2E)(A_ij/d_i) = A_ij/2E = A_ji/2E = (d_j/2E)(A_ji/d_j)  [PASS, A symmetric]</t>
        </is>
      </c>
    </row>
    <row r="13">
      <c r="A13" s="24" t="inlineStr">
        <is>
          <t>5. Assemble generator matrix</t>
        </is>
      </c>
      <c r="B13" s="24" t="inlineStr">
        <is>
          <t>Lambda = D^{-1}A - I = -D^{-1}(D-A) = -D^{-1}L =: Q</t>
        </is>
      </c>
    </row>
    <row r="14">
      <c r="A14" s="24" t="inlineStr">
        <is>
          <t>6. Forward/adjoint operator on probability vectors</t>
        </is>
      </c>
      <c r="B14" s="24" t="inlineStr">
        <is>
          <t>Q* = Q^T = -L D^{-1} =: L*_therm</t>
        </is>
      </c>
    </row>
    <row r="15">
      <c r="A15" s="24" t="inlineStr">
        <is>
          <t>7. Verify Q* d = 0 (equivalently Q* P_degree = 0)</t>
        </is>
      </c>
      <c r="B15" s="24" t="inlineStr">
        <is>
          <t>Confirmed numerically for G0-G4, sheet 74 (residual &lt; 1e-16)</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0" customWidth="1" min="1" max="1"/>
    <col width="70" customWidth="1" min="2" max="2"/>
  </cols>
  <sheetData>
    <row r="1">
      <c r="A1" s="21" t="inlineStr">
        <is>
          <t>NORMALIZED LAPLACIAN SIMILARITY</t>
        </is>
      </c>
    </row>
    <row r="2">
      <c r="A2" s="22" t="inlineStr">
        <is>
          <t>Section 7.</t>
        </is>
      </c>
    </row>
    <row r="4">
      <c r="A4" s="23" t="inlineStr">
        <is>
          <t>Claim</t>
        </is>
      </c>
      <c r="B4" s="23" t="inlineStr">
        <is>
          <t>Status</t>
        </is>
      </c>
    </row>
    <row r="5">
      <c r="A5" s="24" t="inlineStr">
        <is>
          <t>L_norm = D^{1/2} (-Q) D^{-1/2}  [similarity transform]</t>
        </is>
      </c>
      <c r="B5" s="24" t="inlineStr">
        <is>
          <t>PROVEN algebraically and VERIFIED numerically for G0-G4 (sheet 77)</t>
        </is>
      </c>
    </row>
    <row r="6">
      <c r="A6" s="24" t="inlineStr">
        <is>
          <t>Consequence: Spec(-Q) = Spec(L_norm)</t>
        </is>
      </c>
      <c r="B6" s="24" t="inlineStr">
        <is>
          <t>VERIFIED numerically for G0-G4 (eigenvalues match to &lt;1e-6)</t>
        </is>
      </c>
    </row>
    <row r="7">
      <c r="A7" s="24" t="inlineStr">
        <is>
          <t>Consequence: Spec(L) != Spec(L_norm) for irregular G_k</t>
        </is>
      </c>
      <c r="B7" s="24" t="inlineStr">
        <is>
          <t>VERIFIED numerically: G0 (regular) spectra match exactly; G1-G4 (irregular) spectra differ</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8" customWidth="1" min="1" max="1"/>
    <col width="10" customWidth="1" min="2" max="2"/>
    <col width="16" customWidth="1" min="3" max="3"/>
    <col width="16" customWidth="1" min="4" max="4"/>
    <col width="16" customWidth="1" min="5" max="5"/>
    <col width="16" customWidth="1" min="6" max="6"/>
    <col width="26" customWidth="1" min="7" max="7"/>
    <col width="22" customWidth="1" min="8" max="8"/>
  </cols>
  <sheetData>
    <row r="1">
      <c r="A1" s="21" t="inlineStr">
        <is>
          <t>DIRECT MATRIX-EQUALITY AUDIT (not just eigenvalues)</t>
        </is>
      </c>
    </row>
    <row r="2">
      <c r="A2" s="22" t="inlineStr">
        <is>
          <t>Section 6.</t>
        </is>
      </c>
    </row>
    <row r="4">
      <c r="A4" s="23" t="inlineStr">
        <is>
          <t>Shell</t>
        </is>
      </c>
      <c r="B4" s="23" t="inlineStr">
        <is>
          <t>Regular?</t>
        </is>
      </c>
      <c r="C4" s="23" t="inlineStr">
        <is>
          <t>||Q-(-L)||_F</t>
        </is>
      </c>
      <c r="D4" s="23" t="inlineStr">
        <is>
          <t>Q = -L exactly?</t>
        </is>
      </c>
      <c r="E4" s="23" t="inlineStr">
        <is>
          <t>||Q*-(-L)||_F</t>
        </is>
      </c>
      <c r="F4" s="23" t="inlineStr">
        <is>
          <t>Q* = -L exactly?</t>
        </is>
      </c>
      <c r="G4" s="23" t="inlineStr">
        <is>
          <t>L_norm=D^(1/2)(-Q)D^(-1/2)?</t>
        </is>
      </c>
      <c r="H4" s="23" t="inlineStr">
        <is>
          <t>Spec(-Q)=Spec(L_norm)?</t>
        </is>
      </c>
    </row>
    <row r="5">
      <c r="A5" s="24" t="inlineStr">
        <is>
          <t>G0</t>
        </is>
      </c>
      <c r="B5" s="24" t="b">
        <v>1</v>
      </c>
      <c r="C5" s="24" t="n">
        <v>0</v>
      </c>
      <c r="D5" s="24" t="b">
        <v>1</v>
      </c>
      <c r="E5" s="24" t="n">
        <v>0</v>
      </c>
      <c r="F5" s="24" t="b">
        <v>1</v>
      </c>
      <c r="G5" s="24" t="b">
        <v>1</v>
      </c>
      <c r="H5" s="24" t="b">
        <v>1</v>
      </c>
    </row>
    <row r="6">
      <c r="A6" s="24" t="inlineStr">
        <is>
          <t>G1</t>
        </is>
      </c>
      <c r="B6" s="24" t="b">
        <v>0</v>
      </c>
      <c r="C6" s="24" t="n">
        <v>4.358898943540674</v>
      </c>
      <c r="D6" s="24" t="b">
        <v>0</v>
      </c>
      <c r="E6" s="24" t="n">
        <v>4.358898943540674</v>
      </c>
      <c r="F6" s="24" t="b">
        <v>0</v>
      </c>
      <c r="G6" s="24" t="b">
        <v>1</v>
      </c>
      <c r="H6" s="24" t="b">
        <v>1</v>
      </c>
    </row>
    <row r="7">
      <c r="A7" s="24" t="inlineStr">
        <is>
          <t>G2</t>
        </is>
      </c>
      <c r="B7" s="24" t="b">
        <v>0</v>
      </c>
      <c r="C7" s="24" t="n">
        <v>15.36229149573722</v>
      </c>
      <c r="D7" s="24" t="b">
        <v>0</v>
      </c>
      <c r="E7" s="24" t="n">
        <v>15.36229149573722</v>
      </c>
      <c r="F7" s="24" t="b">
        <v>0</v>
      </c>
      <c r="G7" s="24" t="b">
        <v>1</v>
      </c>
      <c r="H7" s="24" t="b">
        <v>1</v>
      </c>
    </row>
    <row r="8">
      <c r="A8" s="24" t="inlineStr">
        <is>
          <t>G3</t>
        </is>
      </c>
      <c r="B8" s="24" t="b">
        <v>0</v>
      </c>
      <c r="C8" s="24" t="n">
        <v>46.95742752749558</v>
      </c>
      <c r="D8" s="24" t="b">
        <v>0</v>
      </c>
      <c r="E8" s="24" t="n">
        <v>46.95742752749558</v>
      </c>
      <c r="F8" s="24" t="b">
        <v>0</v>
      </c>
      <c r="G8" s="24" t="b">
        <v>1</v>
      </c>
      <c r="H8" s="24" t="b">
        <v>1</v>
      </c>
    </row>
    <row r="9">
      <c r="A9" s="24" t="inlineStr">
        <is>
          <t>G4</t>
        </is>
      </c>
      <c r="B9" s="24" t="b">
        <v>0</v>
      </c>
      <c r="C9" s="24" t="n">
        <v>137.1641352540817</v>
      </c>
      <c r="D9" s="24" t="b">
        <v>0</v>
      </c>
      <c r="E9" s="24" t="n">
        <v>137.1641352540817</v>
      </c>
      <c r="F9" s="24" t="b">
        <v>0</v>
      </c>
      <c r="G9" s="24" t="b">
        <v>1</v>
      </c>
      <c r="H9" s="24" t="b">
        <v>1</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16" customWidth="1" min="2" max="2"/>
    <col width="18" customWidth="1" min="3" max="3"/>
    <col width="16" customWidth="1" min="4" max="4"/>
    <col width="16" customWidth="1" min="5" max="5"/>
    <col width="20" customWidth="1" min="6" max="6"/>
    <col width="22" customWidth="1" min="7" max="7"/>
  </cols>
  <sheetData>
    <row r="1">
      <c r="A1" s="21" t="inlineStr">
        <is>
          <t>SPECTRAL RECONCILIATION</t>
        </is>
      </c>
    </row>
    <row r="2">
      <c r="A2" s="22" t="inlineStr">
        <is>
          <t>Section 8.</t>
        </is>
      </c>
    </row>
    <row r="4">
      <c r="A4" s="23" t="inlineStr">
        <is>
          <t>Shell</t>
        </is>
      </c>
      <c r="B4" s="23" t="inlineStr">
        <is>
          <t>lambda1(L)</t>
        </is>
      </c>
      <c r="C4" s="23" t="inlineStr">
        <is>
          <t>lambda1(L_norm)</t>
        </is>
      </c>
      <c r="D4" s="23" t="inlineStr">
        <is>
          <t>ratio L/L_norm</t>
        </is>
      </c>
      <c r="E4" s="23" t="inlineStr">
        <is>
          <t>lambda_max(L)</t>
        </is>
      </c>
      <c r="F4" s="23" t="inlineStr">
        <is>
          <t>lambda_max(L_norm)</t>
        </is>
      </c>
      <c r="G4" s="23" t="inlineStr">
        <is>
          <t>Spec(L)=Spec(L_norm)?</t>
        </is>
      </c>
    </row>
    <row r="5">
      <c r="A5" s="24" t="inlineStr">
        <is>
          <t>G0</t>
        </is>
      </c>
      <c r="B5" s="24" t="n">
        <v>2</v>
      </c>
      <c r="C5" s="24" t="n">
        <v>2</v>
      </c>
      <c r="D5" s="24" t="n">
        <v>1</v>
      </c>
      <c r="E5" s="24" t="n">
        <v>2</v>
      </c>
      <c r="F5" s="24" t="n">
        <v>2</v>
      </c>
      <c r="G5" s="24" t="b">
        <v>1</v>
      </c>
    </row>
    <row r="6">
      <c r="A6" s="24" t="inlineStr">
        <is>
          <t>G1</t>
        </is>
      </c>
      <c r="B6" s="24" t="n">
        <v>0.7639320225002103</v>
      </c>
      <c r="C6" s="24" t="n">
        <v>0.5285954792089684</v>
      </c>
      <c r="D6" s="24" t="n">
        <v>1.44521104047923</v>
      </c>
      <c r="E6" s="24" t="n">
        <v>5.236067977499788</v>
      </c>
      <c r="F6" s="24" t="n">
        <v>2</v>
      </c>
      <c r="G6" s="24" t="b">
        <v>0</v>
      </c>
    </row>
    <row r="7">
      <c r="A7" s="24" t="inlineStr">
        <is>
          <t>G2</t>
        </is>
      </c>
      <c r="B7" s="24" t="n">
        <v>0.4955416775353877</v>
      </c>
      <c r="C7" s="24" t="n">
        <v>0.2372514629097542</v>
      </c>
      <c r="D7" s="24" t="n">
        <v>2.088677015761467</v>
      </c>
      <c r="E7" s="24" t="n">
        <v>10.49407601390208</v>
      </c>
      <c r="F7" s="24" t="n">
        <v>2</v>
      </c>
      <c r="G7" s="24" t="b">
        <v>0</v>
      </c>
    </row>
    <row r="8">
      <c r="A8" s="24" t="inlineStr">
        <is>
          <t>G3</t>
        </is>
      </c>
      <c r="B8" s="24" t="n">
        <v>0.3912718860717828</v>
      </c>
      <c r="C8" s="24" t="n">
        <v>0.1505584051576436</v>
      </c>
      <c r="D8" s="24" t="n">
        <v>2.598804667611204</v>
      </c>
      <c r="E8" s="24" t="n">
        <v>20.98816182882381</v>
      </c>
      <c r="F8" s="24" t="n">
        <v>2</v>
      </c>
      <c r="G8" s="24" t="b">
        <v>0</v>
      </c>
    </row>
    <row r="9">
      <c r="A9" s="24" t="inlineStr">
        <is>
          <t>G4</t>
        </is>
      </c>
      <c r="B9" s="24" t="n">
        <v>0.3431522240040911</v>
      </c>
      <c r="C9" s="24" t="n">
        <v>0.1140493008151004</v>
      </c>
      <c r="D9" s="24" t="n">
        <v>3.008806029950312</v>
      </c>
      <c r="E9" s="24" t="n">
        <v>41.97632365780512</v>
      </c>
      <c r="F9" s="24" t="n">
        <v>2</v>
      </c>
      <c r="G9" s="24" t="b">
        <v>0</v>
      </c>
    </row>
    <row r="12" ht="40" customHeight="1">
      <c r="A12" s="22" t="inlineStr">
        <is>
          <t>Note: lambda_max(L_norm)=2.0 exactly for every irregular shell G1-G4. This is the standard graph-theory fact that the normalized-Laplacian spectrum lies in [0,2] with max=2 attained iff the graph is bipartite -- every ARBS shell is bipartite by construction (Section 1), so this is expected, not a new finding.</t>
        </is>
      </c>
    </row>
  </sheetData>
  <mergeCells count="1">
    <mergeCell ref="A12:G12"/>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50" customWidth="1" min="1" max="1"/>
    <col width="100" customWidth="1" min="2" max="2"/>
  </cols>
  <sheetData>
    <row r="1">
      <c r="A1" s="21" t="inlineStr">
        <is>
          <t>H-THEOREM / CONTINUUM CORRESPONDENCE</t>
        </is>
      </c>
    </row>
    <row r="2">
      <c r="A2" s="22" t="inlineStr">
        <is>
          <t>Sections 10-11.</t>
        </is>
      </c>
    </row>
    <row r="4">
      <c r="A4" s="23" t="inlineStr">
        <is>
          <t>Question</t>
        </is>
      </c>
      <c r="B4" s="23" t="inlineStr">
        <is>
          <t>Answer</t>
        </is>
      </c>
    </row>
    <row r="5">
      <c r="A5" s="24" t="inlineStr">
        <is>
          <t>Does the H-theorem (BRIDGE B-006, sigma=-dF/dt&gt;=0) require detailed balance/reversibility?</t>
        </is>
      </c>
      <c r="B5" s="24" t="inlineStr">
        <is>
          <t>YES -- the log-sum-inequality proof of dF/dt&lt;=0 requires P(t) to evolve under a generator for which P_ss is the correct stationary measure; using Q*=-LD^{-1} (detailed-balanced w.r.t. P_ss=d/(2|E|) by construction, sheet 75) satisfies this. Using -L would make the H-theorem's own stated P_ss wrong for irregular graphs, breaking the theorem's hypothesis.</t>
        </is>
      </c>
    </row>
    <row r="6">
      <c r="A6" s="24" t="inlineStr">
        <is>
          <t>Is Q*=-LD^{-1} the discrete realization of the registered continuum expression L*P=-div(P * grad(log P_ss))?</t>
        </is>
      </c>
      <c r="B6" s="24" t="inlineStr">
        <is>
          <t>PARTIALLY -- Q* is derived (sheet 75) as the master-equation generator of the unique detailed-balanced reversible chain compatible with the graph's edges and the certified P_ss; this is the standard discrete form associated with reversible master equations in the literature. Literal convergence of this discrete operator to the specific continuum differential expression under mesh refinement is a discrete-to-continuum limit statement that is NOT proved here and is not resolved anywhere in the source corpus (BRIDGE B-004, the analogous heat-kernel-to-geometry bridge, is itself independently registered OPEN).</t>
        </is>
      </c>
    </row>
    <row r="7">
      <c r="A7" s="24" t="inlineStr">
        <is>
          <t>Status of this correspondence</t>
        </is>
      </c>
      <c r="B7" s="24" t="inlineStr">
        <is>
          <t>DISCRETE STATIONARY-MEASURE RECONCILIATION: DERIVED. EQUALITY WITH THE REGISTERED CONTINUUM L*: OPEN.</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60" customWidth="1" min="2" max="2"/>
    <col width="70" customWidth="1" min="3" max="3"/>
  </cols>
  <sheetData>
    <row r="1">
      <c r="A1" s="21" t="inlineStr">
        <is>
          <t>TIME-SCALE AUDIT</t>
        </is>
      </c>
    </row>
    <row r="2">
      <c r="A2" s="22" t="inlineStr">
        <is>
          <t>Section 13-14. Which operator does each existing quantity actually belong to?</t>
        </is>
      </c>
    </row>
    <row r="4">
      <c r="A4" s="23" t="inlineStr">
        <is>
          <t>Quantity</t>
        </is>
      </c>
      <c r="B4" s="23" t="inlineStr">
        <is>
          <t>Operator it belongs to</t>
        </is>
      </c>
      <c r="C4" s="23" t="inlineStr">
        <is>
          <t>Status</t>
        </is>
      </c>
    </row>
    <row r="5">
      <c r="A5" s="24" t="inlineStr">
        <is>
          <t>t_H,k (p_A(t_H)=1/2)</t>
        </is>
      </c>
      <c r="B5" s="24" t="inlineStr">
        <is>
          <t>L (spectral) -- ENG-006/007 explicitly use L and 'positive spectrum', consistent with the certified spectral branch</t>
        </is>
      </c>
      <c r="C5" s="24" t="inlineStr">
        <is>
          <t>Unaffected by this run; no change</t>
        </is>
      </c>
    </row>
    <row r="6">
      <c r="A6" s="24" t="inlineStr">
        <is>
          <t>lambda_c,k = 1/t_H,k</t>
        </is>
      </c>
      <c r="B6" s="24" t="inlineStr">
        <is>
          <t>L (spectral)</t>
        </is>
      </c>
      <c r="C6" s="24" t="inlineStr">
        <is>
          <t>Unaffected by this run; no change</t>
        </is>
      </c>
    </row>
    <row r="7">
      <c r="A7" s="24" t="inlineStr">
        <is>
          <t>delta_spec(G_k) = lambda_1(L_k)</t>
        </is>
      </c>
      <c r="B7" s="24" t="inlineStr">
        <is>
          <t>L (spectral) -- source explicitly writes delta_spec=lambda_2 of L</t>
        </is>
      </c>
      <c r="C7" s="24" t="inlineStr">
        <is>
          <t>Unaffected by this run; no change</t>
        </is>
      </c>
    </row>
    <row r="8">
      <c r="A8" s="24" t="inlineStr">
        <is>
          <t>sigma_k = -dF/dt</t>
        </is>
      </c>
      <c r="B8" s="24" t="inlineStr">
        <is>
          <t>L*_therm = -LD^{-1} (thermodynamic) -- REQUIRES the detailed-balanced generator for its own stated P_ss to be correct (sheet 79)</t>
        </is>
      </c>
      <c r="C8" s="24" t="inlineStr">
        <is>
          <t>Confirms C-004C's blocking issue was real: sigma_k belongs to a DIFFERENT operator than delta_spec/lambda_c</t>
        </is>
      </c>
    </row>
    <row r="9">
      <c r="A9" s="24" t="inlineStr">
        <is>
          <t>Pi_0(G_k)=(delta_spec-lambda_c)/sigma</t>
        </is>
      </c>
      <c r="B9" s="24" t="inlineStr">
        <is>
          <t>MIXED -- numerator from L, denominator from L*_therm</t>
        </is>
      </c>
      <c r="C9" s="24" t="inlineStr">
        <is>
          <t>See sheet 81 (Critical Question)</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6" customWidth="1" min="1" max="1"/>
    <col width="90" customWidth="1" min="2" max="2"/>
  </cols>
  <sheetData>
    <row r="1">
      <c r="A1" s="21" t="inlineStr">
        <is>
          <t>CRITICAL QUESTION AND FINAL CLOSURE</t>
        </is>
      </c>
    </row>
    <row r="2">
      <c r="A2" s="22" t="inlineStr">
        <is>
          <t>Section 14 + 18.</t>
        </is>
      </c>
    </row>
    <row r="4">
      <c r="A4" s="23" t="inlineStr">
        <is>
          <t>Question</t>
        </is>
      </c>
      <c r="B4" s="23" t="inlineStr">
        <is>
          <t>Answer</t>
        </is>
      </c>
    </row>
    <row r="5">
      <c r="A5" s="24" t="inlineStr">
        <is>
          <t>Does Pi_0 mix quantities from two different generators?</t>
        </is>
      </c>
      <c r="B5" s="24" t="inlineStr">
        <is>
          <t>YES -- delta_spec, lambda_c come from L (spectral); sigma comes from L*_therm (thermodynamic).</t>
        </is>
      </c>
    </row>
    <row r="6">
      <c r="A6" s="24" t="inlineStr">
        <is>
          <t>Is this mixed-generator construction (choose one): A. source-certified, B. proved equivalent, C. dimensionally/structurally admissible but unproved, D. inconsistent, E. OPEN</t>
        </is>
      </c>
      <c r="B6" s="24" t="inlineStr">
        <is>
          <t>C. Dimensionally/structurally admissible (sheet 67, C-004C dimensional audit already passed) but NOT proved equivalent -- no source theorem shows L and L*_therm produce compatible/comparable scales for this specific ratio. This is a genuine, not-yet-closed gap, distinct from C-004C's sigma non-identifiability.</t>
        </is>
      </c>
    </row>
    <row r="9">
      <c r="A9" s="33" t="inlineStr">
        <is>
          <t>C-004D FINAL STATUS</t>
        </is>
      </c>
    </row>
    <row r="10">
      <c r="A10" s="23" t="inlineStr">
        <is>
          <t>Object</t>
        </is>
      </c>
      <c r="B10" s="23" t="inlineStr">
        <is>
          <t>Status</t>
        </is>
      </c>
    </row>
    <row r="11">
      <c r="A11" s="24" t="inlineStr">
        <is>
          <t>L_spectral = -L</t>
        </is>
      </c>
      <c r="B11" s="24" t="inlineStr">
        <is>
          <t>CERTIFIED (unchanged, source-defined)</t>
        </is>
      </c>
    </row>
    <row r="12">
      <c r="A12" s="24" t="inlineStr">
        <is>
          <t>L_therm = -D^{-1}L = Q</t>
        </is>
      </c>
      <c r="B12" s="24" t="inlineStr">
        <is>
          <t>DERIVED (this run, Section 5, from B-005's own detailed-balance condition)</t>
        </is>
      </c>
    </row>
    <row r="13">
      <c r="A13" s="24" t="inlineStr">
        <is>
          <t>L*_therm = -LD^{-1} = Q*</t>
        </is>
      </c>
      <c r="B13" s="24" t="inlineStr">
        <is>
          <t>DERIVED (this run); VERIFIED: Q* d = 0, so P_ss=d/(2|E|) recovered exactly</t>
        </is>
      </c>
    </row>
    <row r="14">
      <c r="A14" s="24" t="inlineStr">
        <is>
          <t>L_norm = D^{-1/2}LD^{-1/2}</t>
        </is>
      </c>
      <c r="B14" s="24" t="inlineStr">
        <is>
          <t>CONSTRUCTED (standard object); VERIFIED similar to -Q (Spec(-Q)=Spec(L_norm))</t>
        </is>
      </c>
    </row>
    <row r="15">
      <c r="A15" s="24" t="inlineStr">
        <is>
          <t>L_therm = L_spectral (as matrices)?</t>
        </is>
      </c>
      <c r="B15" s="24" t="inlineStr">
        <is>
          <t>FALSIFIED for G1-G4 (irregular); TRUE for G0 (regular) -- Frobenius norm difference computed exactly, sheet 77</t>
        </is>
      </c>
    </row>
    <row r="16">
      <c r="A16" s="24" t="inlineStr">
        <is>
          <t>GENERATOR RECONCILED BY DEGREE NORMALIZATION</t>
        </is>
      </c>
      <c r="B16" s="24" t="inlineStr">
        <is>
          <t>YES -- L_therm=-D^{-1}L (not -L) is the correct thermodynamic generator for irregular ARBS shells</t>
        </is>
      </c>
    </row>
    <row r="17">
      <c r="A17" s="24" t="inlineStr">
        <is>
          <t>Discrete-to-continuum correspondence with registered L*P=-div(P*grad(log P_ss))</t>
        </is>
      </c>
      <c r="B17" s="24" t="inlineStr">
        <is>
          <t>OPEN (sheet 79)</t>
        </is>
      </c>
    </row>
    <row r="18">
      <c r="A18" s="24" t="inlineStr">
        <is>
          <t>Pi_0 mixed-generator construction</t>
        </is>
      </c>
      <c r="B18" s="24" t="inlineStr">
        <is>
          <t>STATUS C: admissible but unproved (this sheet, above)</t>
        </is>
      </c>
    </row>
    <row r="19">
      <c r="A19" s="24" t="inlineStr">
        <is>
          <t>Overall C-004D status</t>
        </is>
      </c>
      <c r="B19" s="24" t="inlineStr">
        <is>
          <t>PARTIALLY CLOSED -- discrete generator reconciliation DERIVED; continuum correspondence remains the one open dependency</t>
        </is>
      </c>
    </row>
    <row r="22">
      <c r="A22" s="22" t="inlineStr">
        <is>
          <t>C-004C is NOT reopened by this run: no new sigma_k or Pi_0 ranking was computed. Sections 19 of the governing instructions were followed.</t>
        </is>
      </c>
    </row>
  </sheetData>
  <mergeCells count="1">
    <mergeCell ref="A22:B22"/>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40" customHeight="1">
      <c r="A4" s="29" t="inlineStr">
        <is>
          <t>Prove or disprove that the discrete reversible-chain generator L*_therm = -LD^{-1}, derived this run from the graph's own edges and the certified detailed-balance/stationary-measure condition (BRIDGE B-005), is the correct discrete realization of the source's registered continuum expression L*P = -div(P * grad(log P_ss)) -- i.e. establish (or formally register as a separate open bridge, analogous to BRIDGE B-004's heat-kernel-to-geometry limit) the discrete-to-continuum correspondence for the thermodynamic branch specifically. This is required before sigma_k's dynamical definition can be considered fully pinned to a single, unambiguous operator -- and it is logically prior to attempting any new choice of P(0)/evaluation time for C-004C, since that choice would otherwise be made relative to an operator whose continuum meaning is still unverified.</t>
        </is>
      </c>
    </row>
  </sheetData>
  <mergeCells count="1">
    <mergeCell ref="A4:E4"/>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1" t="inlineStr">
        <is>
          <t>C-004E -- EXACT PROOF OBLIGATION</t>
        </is>
      </c>
    </row>
    <row r="2">
      <c r="A2" s="22" t="inlineStr">
        <is>
          <t>L*_discrete = -LD^{-1}  --&gt;?  L*_continuum = -div(P grad log P_ss), under the project's own continuum-limit machinery (a sequence G_n -&gt; M with scaling operators R_n). Frozen: everything at or above C-004D is unchanged by this run.</t>
        </is>
      </c>
    </row>
    <row r="5" ht="40" customHeight="1">
      <c r="A5" s="24" t="inlineStr">
        <is>
          <t>L*_discrete = -LD^{-1}  --&gt;?  L*_continuum = -div(P grad log P_ss), under the project's own continuum-limit machinery (a sequence G_n -&gt; M with scaling operators R_n).</t>
        </is>
      </c>
    </row>
  </sheetData>
  <mergeCells count="1">
    <mergeCell ref="A5:E5"/>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6" customWidth="1" min="1" max="1"/>
    <col width="110" customWidth="1" min="2" max="2"/>
  </cols>
  <sheetData>
    <row r="1">
      <c r="A1" s="21" t="inlineStr">
        <is>
          <t>SEARCH: DOES A G_n -&gt; M CONVERGENCE MAP EXIST FOR THE THERMODYNAMIC BRANCH?</t>
        </is>
      </c>
    </row>
    <row r="2">
      <c r="A2" s="22" t="inlineStr"/>
    </row>
    <row r="4">
      <c r="A4" s="23" t="inlineStr">
        <is>
          <t>Finding</t>
        </is>
      </c>
      <c r="B4" s="23" t="inlineStr">
        <is>
          <t>Detail</t>
        </is>
      </c>
    </row>
    <row r="5">
      <c r="A5" s="24" t="inlineStr">
        <is>
          <t>F1: Existing convergence machinery</t>
        </is>
      </c>
      <c r="B5" s="24" t="inlineStr">
        <is>
          <t>RF-001 through RF-005 (Universal Recovery Functor R: Graph_ARBS -&gt; Field(M)), CERTIFIED, via the four-topology convergence chain (RF-003): G_n -&gt;^{GH} (M,g) =&gt; E_n -&gt;^{Mosco} E =&gt; L_n -&gt;^{s.r.} L =&gt; T_n(t) -&gt;^{s} T(t), citing Kato's First Representation Theorem and the Trotter-Kato theorem (external, standard references, correctly cited).</t>
        </is>
      </c>
    </row>
    <row r="6">
      <c r="A6" s="24" t="inlineStr">
        <is>
          <t>F1: What it targets</t>
        </is>
      </c>
      <c r="B6" s="24" t="inlineStr">
        <is>
          <t>Geometric recovery: the discrete Dirac operator resolvent -&gt; continuum Dirac resolvent (row 105-110, THM-SRC, CERTIFIED), and separately the heat kernel H(t)=e^{-tL} -&gt; metric g_mu_nu via short-time asymptotics (BRIDGE B-004, OPEN) and the normalized Laplacian L_n -&gt; Laplace-Beltrami operator Delta_M (row 2027, 1950-1952).</t>
        </is>
      </c>
    </row>
    <row r="7">
      <c r="A7" s="24" t="inlineStr">
        <is>
          <t>F1: Operator it is built on</t>
        </is>
      </c>
      <c r="B7" s="24" t="inlineStr">
        <is>
          <t>The SYMMETRIC spectral Laplacian L=D-A and its associated Dirac operator D_G and heat semigroup e^{-tL} -- the same object used throughout DER-SPC-001..006 (all CERTIFIED, the same branch independently verified in this project's ARBS reconstruction, run 2).</t>
        </is>
      </c>
    </row>
    <row r="8">
      <c r="A8" s="24" t="inlineStr">
        <is>
          <t>F1: Certification status</t>
        </is>
      </c>
      <c r="B8" s="24" t="inlineStr">
        <is>
          <t>RF-001, RF-003 CERTIFIED (the abstract convergence chain exists as a theorem for the spectral branch). BRIDGE B-004 (the specific geometric-recovery bridge) is OPEN. Delta_M=lim L_n is stated but its own governing bridge (B-004) is unresolved.</t>
        </is>
      </c>
    </row>
    <row r="9">
      <c r="A9" s="24" t="inlineStr">
        <is>
          <t>F2: Reference-measure ambiguity</t>
        </is>
      </c>
      <c r="B9" s="24" t="inlineStr">
        <is>
          <t>The corpus states L is 'a linear operator on L^2(V,mu)' (USR-007, OP-CMP-001) and gives the Hilbert-space construction 'H=closure(span{phi_n})=L^2(V,mu)' with inner product &lt;phi_m,phi_n&gt;=sum_i phi_m(i)phi_n(i)mu(i) (DER-QR-001, CERTIFIED) -- but mu is never explicitly pinned to counting measure (mu(i)=1) or degree measure (mu(i)=d_i) anywhere in the corpus.</t>
        </is>
      </c>
    </row>
    <row r="10">
      <c r="A10" s="24" t="inlineStr">
        <is>
          <t>F2: Resolution</t>
        </is>
      </c>
      <c r="B10" s="24" t="inlineStr">
        <is>
          <t>Every certified, actually-used instance of this construction (the eigendecomposition of L via DER-SPC-003, the heat kernel via DER-SPC-004, and this project's own independently-verified ARBS spectral reconstruction) computes L's eigenvectors as orthonormal under the STANDARD (counting-measure) inner product -- consistent only with mu=counting measure for the spectral branch. No certified entry anywhere redoes this Hilbert-space/eigendecomposition construction with mu=degree measure.</t>
        </is>
      </c>
    </row>
    <row r="11">
      <c r="A11" s="24" t="inlineStr">
        <is>
          <t>F2: Consequence</t>
        </is>
      </c>
      <c r="B11" s="24" t="inlineStr">
        <is>
          <t>The RF-001..005 / BRIDGE B-004 convergence machinery, inheriting 'L' and its Hilbert space from this same branch, is built on L^2(V, counting measure) -- NOT on L^2(V,d) (degree-weighted), the space in which Q=-D^{-1}L and its adjoint -LD^{-1} are naturally self-adjoint (via similarity to L_norm=D^{-1/2}LD^{-1/2}, proven in C-004D).</t>
        </is>
      </c>
    </row>
    <row r="12">
      <c r="A12" s="24" t="inlineStr">
        <is>
          <t>F3: No connection to the FP equation</t>
        </is>
      </c>
      <c r="B12" s="24" t="inlineStr">
        <is>
          <t>The continuum object L*P=-div(P grad log P_ss) (row 2116, 'Fokker-Planck Dynamics') is stated as a bare PDE by analogy with standard non-equilibrium statistical mechanics. It is NEVER referenced alongside R_n, G_n-&gt;M, Mosco convergence, Gromov-Hausdorff, Delta_M, or any other refinement/limit apparatus anywhere in the corpus. Delta_M=lim L_n (row 2027) and BRIDGE B-004 target g_mu_nu (a METRIC recovery), a different object from P_ss or the FP equation (a PROBABILITY-evolution recovery) entirely.</t>
        </is>
      </c>
    </row>
    <row r="13">
      <c r="A13" s="24" t="inlineStr">
        <is>
          <t>F3: Consequence</t>
        </is>
      </c>
      <c r="B13" s="24" t="inlineStr">
        <is>
          <t>There is no attempted derivation, sketch, or even an informal claim anywhere in the ~450-sheet corpus that the continuum FP equation is, or should be, a limit of any discrete graph sequence under the project's refinement functor R.</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21" t="inlineStr">
        <is>
          <t>ANSWER TO THE EXACT PROOF OBLIGATION</t>
        </is>
      </c>
    </row>
    <row r="2">
      <c r="A2" s="22" t="inlineStr"/>
    </row>
    <row r="5" ht="30" customHeight="1">
      <c r="A5" s="31" t="inlineStr">
        <is>
          <t>Does the framework provide a sequence G_n -&gt; M and scaling operators such that lim R_n(-L_n D_n^{-1}) = the continuum FP operator?</t>
        </is>
      </c>
    </row>
    <row r="7">
      <c r="A7" s="34" t="inlineStr">
        <is>
          <t>NO.</t>
        </is>
      </c>
    </row>
    <row r="9" ht="110" customHeight="1">
      <c r="A9" s="24" t="inlineStr">
        <is>
          <t>(1) The only certified discrete-to-continuum convergence apparatus in the source (RF-001..005, BRIDGE B-004) is built on the counting-measure spectral branch (L, not D^{-1}L or L_norm) -- confirmed by tracing every certified use of L^2(V,mu) back to constructions (eigendecomposition, heat kernel) that are only consistent with mu=counting measure. (2) That apparatus targets geometric recovery (g_mu_nu, Delta_M), not the Fokker-Planck/thermodynamic branch. (3) The continuum FP equation -div(P grad log P_ss) is never referenced alongside any refinement-limit machinery anywhere in the corpus -- it is an isolated, un-derived assertion. No sequence R_n, no scaling law, and no convergence theorem exists connecting -L_nD_n^{-1} (or any thermodynamic discretization) to it.</t>
        </is>
      </c>
    </row>
    <row r="11" ht="55" customHeight="1">
      <c r="A11" s="31" t="inlineStr">
        <is>
          <t>This is a genuine missing theorem, not merely an unresolved detail: the continuum FP equation and the graph-refinement convergence theory were developed as two entirely separate pieces of the framework that were never connected. C-004E is OPEN with a precise, theorem-level obstruction, exactly as anticipated by the governing instruction: 'If the necessary convergence map doesn't exist, that itself becomes the next theorem-level obstruction.'</t>
        </is>
      </c>
    </row>
  </sheetData>
  <mergeCells count="3">
    <mergeCell ref="A11:E11"/>
    <mergeCell ref="A5:E5"/>
    <mergeCell ref="A9:E9"/>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8" customWidth="1" min="1" max="1"/>
    <col width="10" customWidth="1" min="2" max="2"/>
    <col width="14" customWidth="1" min="3" max="3"/>
    <col width="14" customWidth="1" min="4" max="4"/>
  </cols>
  <sheetData>
    <row r="1">
      <c r="A1" s="21" t="inlineStr">
        <is>
          <t>CANONICAL THEOREM: SPECTRAL/THERMODYNAMIC GENERATOR DISTINCTION</t>
        </is>
      </c>
    </row>
    <row r="2">
      <c r="A2" s="22" t="inlineStr">
        <is>
          <t>Promoted from the C-004D finding to a general, ARBS-independent structural theorem, per this run's directive.</t>
        </is>
      </c>
    </row>
    <row r="5" ht="150" customHeight="1">
      <c r="A5" s="24" t="inlineStr">
        <is>
          <t>For any connected, unweighted, undirected graph G=(V,E) with Laplacian L=D-A: (1) ker(L)=span{1} (standard), so the symmetric generator -L has UNIFORM stationary measure. (2) A reversible continuous-time Markov generator L*_therm with stationary measure P_ss proportional to d must satisfy L*_therm*d=0, i.e. d in ker(L*_therm). (3) Since d is in ker(L) if and only if G is regular (verified: L*d=0 exactly for regular G0; ||L*d|| grows with irregularity for G1-G4: 4.90, 25.77, 145.41, 822.50 respectively), ker(L) != span{d} for any irregular G. (4) Therefore -L != c*L*_therm for any scalar c, for any irregular connected graph: THE SPECTRAL AND THERMODYNAMIC GENERATORS ARE STRUCTURALLY DISTINCT OPERATORS whenever the graph is irregular. (5) The unique reconciling operator, given only the graph's edges and the detailed-balance condition w.r.t. P_ss proportional to d, is L*_therm=-LD^{-1} (derived in C-004D), similar to L_norm=D^{-1/2}LD^{-1/2}.</t>
        </is>
      </c>
    </row>
    <row r="12">
      <c r="A12" s="30" t="inlineStr">
        <is>
          <t>Status</t>
        </is>
      </c>
      <c r="B12" t="inlineStr">
        <is>
          <t>PROVEN (algebraic proof + numerical confirmation across G0-G4, including the new kernel-membership check ||L*d|| in this run)</t>
        </is>
      </c>
    </row>
    <row r="13" ht="40" customHeight="1">
      <c r="A13" s="30" t="inlineStr">
        <is>
          <t>Scope</t>
        </is>
      </c>
      <c r="B13" s="35" t="inlineStr">
        <is>
          <t>General -- applies to any connected graph with a degree-weighted stationary measure requirement, not specific to ARBS. Recommended for promotion to the canonical Universal Rosetta Stone theorem registry as a standing structural result, independent of the ARBS shell-selection question.</t>
        </is>
      </c>
    </row>
    <row r="15">
      <c r="A15" s="30" t="inlineStr">
        <is>
          <t>Numerical confirmation: ||L*d|| (should be 0 iff d in ker(L), i.e. iff G is regular)</t>
        </is>
      </c>
    </row>
    <row r="16">
      <c r="A16" s="23" t="inlineStr">
        <is>
          <t>Shell</t>
        </is>
      </c>
      <c r="B16" s="23" t="inlineStr">
        <is>
          <t>Regular?</t>
        </is>
      </c>
      <c r="C16" s="23" t="inlineStr">
        <is>
          <t>||L*d||</t>
        </is>
      </c>
      <c r="D16" s="23" t="inlineStr">
        <is>
          <t>d in ker(L)?</t>
        </is>
      </c>
    </row>
    <row r="17">
      <c r="A17" s="24" t="inlineStr">
        <is>
          <t>G0</t>
        </is>
      </c>
      <c r="B17" s="24" t="b">
        <v>1</v>
      </c>
      <c r="C17" s="24" t="n">
        <v>0</v>
      </c>
      <c r="D17" s="24" t="b">
        <v>1</v>
      </c>
    </row>
    <row r="18">
      <c r="A18" s="24" t="inlineStr">
        <is>
          <t>G1</t>
        </is>
      </c>
      <c r="B18" s="24" t="b">
        <v>0</v>
      </c>
      <c r="C18" s="24" t="n">
        <v>4.898979485566356</v>
      </c>
      <c r="D18" s="24" t="b">
        <v>0</v>
      </c>
    </row>
    <row r="19">
      <c r="A19" s="24" t="inlineStr">
        <is>
          <t>G2</t>
        </is>
      </c>
      <c r="B19" s="24" t="b">
        <v>0</v>
      </c>
      <c r="C19" s="24" t="n">
        <v>25.76819745345025</v>
      </c>
      <c r="D19" s="24" t="b">
        <v>0</v>
      </c>
    </row>
    <row r="20">
      <c r="A20" s="24" t="inlineStr">
        <is>
          <t>G3</t>
        </is>
      </c>
      <c r="B20" s="24" t="b">
        <v>0</v>
      </c>
      <c r="C20" s="24" t="n">
        <v>145.4097658343483</v>
      </c>
      <c r="D20" s="24" t="b">
        <v>0</v>
      </c>
    </row>
    <row r="21">
      <c r="A21" s="24" t="inlineStr">
        <is>
          <t>G4</t>
        </is>
      </c>
      <c r="B21" s="24" t="b">
        <v>0</v>
      </c>
      <c r="C21" s="24" t="n">
        <v>822.4986322177077</v>
      </c>
      <c r="D21" s="24" t="b">
        <v>0</v>
      </c>
    </row>
  </sheetData>
  <mergeCells count="2">
    <mergeCell ref="B13:E13"/>
    <mergeCell ref="A5:E5"/>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6" customWidth="1" min="1" max="1"/>
    <col width="100" customWidth="1" min="2" max="2"/>
  </cols>
  <sheetData>
    <row r="1">
      <c r="A1" s="21" t="inlineStr">
        <is>
          <t>C-004E FINAL CLOSURE</t>
        </is>
      </c>
    </row>
    <row r="2">
      <c r="A2" s="22" t="inlineStr"/>
    </row>
    <row r="4">
      <c r="A4" s="23" t="inlineStr">
        <is>
          <t>Object</t>
        </is>
      </c>
      <c r="B4" s="23" t="inlineStr">
        <is>
          <t>Status</t>
        </is>
      </c>
    </row>
    <row r="5">
      <c r="A5" s="24" t="inlineStr">
        <is>
          <t>C-004E (discrete-to-continuum FP correspondence)</t>
        </is>
      </c>
      <c r="B5" s="24" t="inlineStr">
        <is>
          <t>OPEN -- precise theorem-level obstruction identified: no convergence machinery connecting any thermodynamic-branch discretization to the continuum FP equation exists anywhere in the corpus</t>
        </is>
      </c>
    </row>
    <row r="6">
      <c r="A6" s="24" t="inlineStr">
        <is>
          <t>THM-GEN-DISTINCT-001</t>
        </is>
      </c>
      <c r="B6" s="24" t="inlineStr">
        <is>
          <t>PROVEN; recommended for canonical promotion (general, ARBS-independent result)</t>
        </is>
      </c>
    </row>
    <row r="7">
      <c r="A7" s="24" t="inlineStr">
        <is>
          <t>C-004D (generator reconciliation, discrete level)</t>
        </is>
      </c>
      <c r="B7" s="24" t="inlineStr">
        <is>
          <t>Unaffected, still PARTIALLY CLOSED</t>
        </is>
      </c>
    </row>
    <row r="8">
      <c r="A8" s="24" t="inlineStr">
        <is>
          <t>C-004C (sigma_k identifiability)</t>
        </is>
      </c>
      <c r="B8" s="24" t="inlineStr">
        <is>
          <t>Not reopened; sigma_k remains PROVEN NON-IDENTIFIABLE</t>
        </is>
      </c>
    </row>
    <row r="9">
      <c r="A9" s="24" t="inlineStr">
        <is>
          <t>G*</t>
        </is>
      </c>
      <c r="B9" s="24" t="inlineStr">
        <is>
          <t>UNRESOLVED (unchanged)</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60" customHeight="1">
      <c r="A4" s="29" t="inlineStr">
        <is>
          <t>Construct (or formally register as a new, explicitly named open bridge in the source registry) a discrete-to-continuum convergence theorem for the THERMODYNAMIC branch specifically: a sequence G_n -&gt; M, scaling operators R_n, and a proof (Mosco convergence, Gromov-Hausdorff, or an equivalent route already admissible in this project) showing lim R_n(-L_n D_n^{-1}) converges to some explicit continuum operator -- and only then determine whether that limit is the specific PDE L*P=-div(P grad log P_ss) already asserted in source, or a different continuum object. This must be built in the degree-weighted L^2(V,d) Hilbert space (the space in which -D^{-1}L is self-adjoint, proven in C-004D), NOT simply re-used from the existing counting-measure RF-001..005 apparatus, which was verified this run to be built on a different reference measure entirely. Until this exists, sigma_k's generator has a derived discrete form (C-004D) but no verified continuum meaning, and no further attempt to pin down P(0)/evaluation time for C-004C should proceed.</t>
        </is>
      </c>
    </row>
  </sheetData>
  <mergeCells count="1">
    <mergeCell ref="A4:E4"/>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6" customWidth="1" min="1" max="1"/>
    <col width="90" customWidth="1" min="2" max="2"/>
  </cols>
  <sheetData>
    <row r="1">
      <c r="A1" s="21" t="inlineStr">
        <is>
          <t>C-004F -- DEGREE-WEIGHTED THERMODYNAMIC CONTINUUM RECOVERY</t>
        </is>
      </c>
    </row>
    <row r="2">
      <c r="A2" s="22" t="inlineStr">
        <is>
          <t>Recovery order executed exactly: F.1 degree measure -&gt; F.2 weighted Hilbert space -&gt; F.3 weighted generator -&gt; F.4 Dirichlet form -&gt; F.5 refinement map -&gt; F.6 pushforward -&gt; F.7 convergence test -&gt; [F.8-F.10 blocked, not attempted].</t>
        </is>
      </c>
    </row>
    <row r="5">
      <c r="A5" s="23" t="inlineStr">
        <is>
          <t>Step</t>
        </is>
      </c>
      <c r="B5" s="23" t="inlineStr">
        <is>
          <t>Status</t>
        </is>
      </c>
    </row>
    <row r="6">
      <c r="A6" s="24" t="inlineStr">
        <is>
          <t>C-004F.1_degree_measure</t>
        </is>
      </c>
      <c r="B6" s="24" t="inlineStr">
        <is>
          <t>DERIVED / VERIFIED</t>
        </is>
      </c>
    </row>
    <row r="7">
      <c r="A7" s="24" t="inlineStr">
        <is>
          <t>C-004F.2_weighted_hilbert_space</t>
        </is>
      </c>
      <c r="B7" s="24" t="inlineStr">
        <is>
          <t>DERIVED FROM P_ss (not source-certified as an explicit construction)</t>
        </is>
      </c>
    </row>
    <row r="8">
      <c r="A8" s="24" t="inlineStr">
        <is>
          <t>C-004F.3_weighted_generator</t>
        </is>
      </c>
      <c r="B8" s="24" t="inlineStr">
        <is>
          <t>DERIVED / VERIFIED (carried forward from C-004D, re-verified here with detailed balance, conservation, stochastic semigroup checks)</t>
        </is>
      </c>
    </row>
    <row r="9">
      <c r="A9" s="24" t="inlineStr">
        <is>
          <t>C-004F.4_dirichlet_form</t>
        </is>
      </c>
      <c r="B9" s="24" t="inlineStr">
        <is>
          <t>DERIVED / VERIFIED (exact formula proven and numerically confirmed to ~5e-17 residual after an arithmetic bug caught and fixed during verification)</t>
        </is>
      </c>
    </row>
    <row r="10">
      <c r="A10" s="24" t="inlineStr">
        <is>
          <t>C-004F.5_refinement_map</t>
        </is>
      </c>
      <c r="B10" s="24" t="inlineStr">
        <is>
          <t>COMBINATORIAL MAP DERIVED (exact inclusion/embedding, degree transformation computed exactly); METRIC RESCALING NOT SOURCE-SUPPORTED (registered obstruction, not invented around)</t>
        </is>
      </c>
    </row>
    <row r="11">
      <c r="A11" s="24" t="inlineStr">
        <is>
          <t>C-004F.6_measure_pushforward</t>
        </is>
      </c>
      <c r="B11" s="24" t="inlineStr">
        <is>
          <t>CALCULATED across G0..G9 (extended beyond G0-G4 per Section 17)</t>
        </is>
      </c>
    </row>
    <row r="12">
      <c r="A12" s="24" t="inlineStr">
        <is>
          <t>C-004F.7_weighted_convergence</t>
        </is>
      </c>
      <c r="B12" s="24" t="inlineStr">
        <is>
          <t>OUTCOME D -- no identifiable limit (strong numerical evidence, not a closed-form proof)</t>
        </is>
      </c>
    </row>
    <row r="13">
      <c r="A13" s="24" t="inlineStr">
        <is>
          <t>C-004F.8_continuum_dirichlet_form</t>
        </is>
      </c>
      <c r="B13" s="24" t="inlineStr">
        <is>
          <t>NOT ATTEMPTED -- blocked by C-004F.7 (Section 24 stop rule)</t>
        </is>
      </c>
    </row>
    <row r="14">
      <c r="A14" s="24" t="inlineStr">
        <is>
          <t>C-004F.9_continuum_generator</t>
        </is>
      </c>
      <c r="B14" s="24" t="inlineStr">
        <is>
          <t>NOT ATTEMPTED -- blocked</t>
        </is>
      </c>
    </row>
    <row r="15">
      <c r="A15" s="24" t="inlineStr">
        <is>
          <t>C-004F.10_fokker_planck_correspondence</t>
        </is>
      </c>
      <c r="B15" s="24" t="inlineStr">
        <is>
          <t>NOT ATTEMPTED -- blocked</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8" customWidth="1" min="1" max="1"/>
    <col width="8" customWidth="1" min="2" max="2"/>
    <col width="10" customWidth="1" min="3" max="3"/>
    <col width="12" customWidth="1" min="4" max="4"/>
    <col width="12" customWidth="1" min="5" max="5"/>
    <col width="14" customWidth="1" min="6" max="6"/>
    <col width="14" customWidth="1" min="7" max="7"/>
    <col width="14" customWidth="1" min="8" max="8"/>
    <col width="14" customWidth="1" min="9" max="9"/>
  </cols>
  <sheetData>
    <row r="1">
      <c r="A1" s="21" t="inlineStr">
        <is>
          <t>DEGREE MEASURES pi_k(i)=d_i/(2|E_k|)</t>
        </is>
      </c>
    </row>
    <row r="2">
      <c r="A2" s="22" t="inlineStr">
        <is>
          <t>G0-G9 (extended per Section 17).</t>
        </is>
      </c>
    </row>
    <row r="4">
      <c r="A4" s="23" t="inlineStr">
        <is>
          <t>Shell</t>
        </is>
      </c>
      <c r="B4" s="23" t="inlineStr">
        <is>
          <t>N</t>
        </is>
      </c>
      <c r="C4" s="23" t="inlineStr">
        <is>
          <t>E</t>
        </is>
      </c>
      <c r="D4" s="23" t="inlineStr">
        <is>
          <t>pi_min</t>
        </is>
      </c>
      <c r="E4" s="23" t="inlineStr">
        <is>
          <t>pi_max</t>
        </is>
      </c>
      <c r="F4" s="23" t="inlineStr">
        <is>
          <t>H(pi)</t>
        </is>
      </c>
      <c r="G4" s="23" t="inlineStr">
        <is>
          <t>H(uniform)</t>
        </is>
      </c>
      <c r="H4" s="23" t="inlineStr">
        <is>
          <t>||pi-u||_1</t>
        </is>
      </c>
      <c r="I4" s="23" t="inlineStr">
        <is>
          <t>||pi-u||_2</t>
        </is>
      </c>
    </row>
    <row r="5">
      <c r="A5" s="24" t="inlineStr">
        <is>
          <t>G0</t>
        </is>
      </c>
      <c r="B5" s="24" t="n">
        <v>2</v>
      </c>
      <c r="C5" s="24" t="n">
        <v>1</v>
      </c>
      <c r="D5" s="24" t="n">
        <v>0.5</v>
      </c>
      <c r="E5" s="24" t="n">
        <v>0.5</v>
      </c>
      <c r="F5" s="24" t="n">
        <v>0.6931471805599453</v>
      </c>
      <c r="G5" s="24" t="n">
        <v>0.6931471805599453</v>
      </c>
      <c r="H5" s="24" t="n">
        <v>0</v>
      </c>
      <c r="I5" s="24" t="n">
        <v>0</v>
      </c>
    </row>
    <row r="6">
      <c r="A6" s="24" t="inlineStr">
        <is>
          <t>G1</t>
        </is>
      </c>
      <c r="B6" s="24" t="n">
        <v>6</v>
      </c>
      <c r="C6" s="24" t="n">
        <v>7</v>
      </c>
      <c r="D6" s="24" t="n">
        <v>0.07142857142857142</v>
      </c>
      <c r="E6" s="24" t="n">
        <v>0.2142857142857143</v>
      </c>
      <c r="F6" s="24" t="n">
        <v>1.734764521025775</v>
      </c>
      <c r="G6" s="24" t="n">
        <v>1.791759469228055</v>
      </c>
      <c r="H6" s="24" t="n">
        <v>0.2857142857142857</v>
      </c>
      <c r="I6" s="24" t="n">
        <v>0.1304101327393253</v>
      </c>
    </row>
    <row r="7">
      <c r="A7" s="24" t="inlineStr">
        <is>
          <t>G2</t>
        </is>
      </c>
      <c r="B7" s="24" t="n">
        <v>14</v>
      </c>
      <c r="C7" s="24" t="n">
        <v>31</v>
      </c>
      <c r="D7" s="24" t="n">
        <v>0.01612903225806452</v>
      </c>
      <c r="E7" s="24" t="n">
        <v>0.09677419354838709</v>
      </c>
      <c r="F7" s="24" t="n">
        <v>2.569528558139588</v>
      </c>
      <c r="G7" s="24" t="n">
        <v>2.639057329615258</v>
      </c>
      <c r="H7" s="24" t="n">
        <v>0.304147465437788</v>
      </c>
      <c r="I7" s="24" t="n">
        <v>0.09325394628962239</v>
      </c>
    </row>
    <row r="8">
      <c r="A8" s="24" t="inlineStr">
        <is>
          <t>G3</t>
        </is>
      </c>
      <c r="B8" s="24" t="n">
        <v>30</v>
      </c>
      <c r="C8" s="24" t="n">
        <v>127</v>
      </c>
      <c r="D8" s="24" t="n">
        <v>0.003937007874015748</v>
      </c>
      <c r="E8" s="24" t="n">
        <v>0.04724409448818898</v>
      </c>
      <c r="F8" s="24" t="n">
        <v>3.311737149982297</v>
      </c>
      <c r="G8" s="24" t="n">
        <v>3.401197381662155</v>
      </c>
      <c r="H8" s="24" t="n">
        <v>0.3338582677165354</v>
      </c>
      <c r="I8" s="24" t="n">
        <v>0.07189397520530266</v>
      </c>
    </row>
    <row r="9">
      <c r="A9" s="24" t="inlineStr">
        <is>
          <t>G4</t>
        </is>
      </c>
      <c r="B9" s="24" t="n">
        <v>62</v>
      </c>
      <c r="C9" s="24" t="n">
        <v>511</v>
      </c>
      <c r="D9" s="24" t="n">
        <v>0.0009784735812133072</v>
      </c>
      <c r="E9" s="24" t="n">
        <v>0.02348336594911937</v>
      </c>
      <c r="F9" s="24" t="n">
        <v>4.020946195192714</v>
      </c>
      <c r="G9" s="24" t="n">
        <v>4.127134385045092</v>
      </c>
      <c r="H9" s="24" t="n">
        <v>0.3530080171706331</v>
      </c>
      <c r="I9" s="24" t="n">
        <v>0.05399794797283575</v>
      </c>
    </row>
    <row r="10">
      <c r="A10" s="24" t="inlineStr">
        <is>
          <t>G5</t>
        </is>
      </c>
      <c r="B10" s="24" t="n">
        <v>126</v>
      </c>
      <c r="C10" s="24" t="n">
        <v>2047</v>
      </c>
      <c r="D10" s="24" t="n">
        <v>0.0002442598925256473</v>
      </c>
      <c r="E10" s="24" t="n">
        <v>0.01172447484123107</v>
      </c>
      <c r="F10" s="24" t="n">
        <v>4.719100651189773</v>
      </c>
      <c r="G10" s="24" t="n">
        <v>4.836281906951478</v>
      </c>
      <c r="H10" s="24" t="n">
        <v>0.3636448228534206</v>
      </c>
      <c r="I10" s="24" t="n">
        <v>0.0394867040343078</v>
      </c>
    </row>
    <row r="11">
      <c r="A11" s="24" t="inlineStr">
        <is>
          <t>G6</t>
        </is>
      </c>
      <c r="B11" s="24" t="n">
        <v>254</v>
      </c>
      <c r="C11" s="24" t="n">
        <v>8191</v>
      </c>
      <c r="D11" s="24" t="n">
        <v>6.104260774020266e-05</v>
      </c>
      <c r="E11" s="24" t="n">
        <v>0.005860090343059456</v>
      </c>
      <c r="F11" s="24" t="n">
        <v>5.413751562852944</v>
      </c>
      <c r="G11" s="24" t="n">
        <v>5.537334267018537</v>
      </c>
      <c r="H11" s="24" t="n">
        <v>0.3692318340563919</v>
      </c>
      <c r="I11" s="24" t="n">
        <v>0.02841554673594068</v>
      </c>
    </row>
    <row r="12">
      <c r="A12" s="24" t="inlineStr">
        <is>
          <t>G7</t>
        </is>
      </c>
      <c r="B12" s="24" t="n">
        <v>510</v>
      </c>
      <c r="C12" s="24" t="n">
        <v>32767</v>
      </c>
      <c r="D12" s="24" t="n">
        <v>1.52592547379986e-05</v>
      </c>
      <c r="E12" s="24" t="n">
        <v>0.00292977690969573</v>
      </c>
      <c r="F12" s="24" t="n">
        <v>6.107337986511347</v>
      </c>
      <c r="G12" s="24" t="n">
        <v>6.234410725718371</v>
      </c>
      <c r="H12" s="24" t="n">
        <v>0.3720931568525723</v>
      </c>
      <c r="I12" s="24" t="n">
        <v>0.02027342022160248</v>
      </c>
    </row>
    <row r="13">
      <c r="A13" s="24" t="inlineStr">
        <is>
          <t>G8</t>
        </is>
      </c>
      <c r="B13" s="24" t="n">
        <v>1022</v>
      </c>
      <c r="C13" s="24" t="n">
        <v>131071</v>
      </c>
      <c r="D13" s="24" t="n">
        <v>3.814726369677503e-06</v>
      </c>
      <c r="E13" s="24" t="n">
        <v>0.001464854925956161</v>
      </c>
      <c r="F13" s="24" t="n">
        <v>6.800610831589683</v>
      </c>
      <c r="G13" s="24" t="n">
        <v>6.92951677076365</v>
      </c>
      <c r="H13" s="24" t="n">
        <v>0.3735408727625119</v>
      </c>
      <c r="I13" s="24" t="n">
        <v>0.01440035987538294</v>
      </c>
    </row>
    <row r="14">
      <c r="A14" s="24" t="inlineStr">
        <is>
          <t>G9</t>
        </is>
      </c>
      <c r="B14" s="24" t="n">
        <v>2046</v>
      </c>
      <c r="C14" s="24" t="n">
        <v>524287</v>
      </c>
      <c r="D14" s="24" t="n">
        <v>9.53676135399123e-07</v>
      </c>
      <c r="E14" s="24" t="n">
        <v>0.0007324232719865265</v>
      </c>
      <c r="F14" s="24" t="n">
        <v>7.493793393689801</v>
      </c>
      <c r="G14" s="24" t="n">
        <v>7.623641946511571</v>
      </c>
      <c r="H14" s="24" t="n">
        <v>0.3742690079413926</v>
      </c>
      <c r="I14" s="24" t="n">
        <v>0.01020571665024998</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8" customWidth="1" min="1" max="1"/>
    <col width="20" customWidth="1" min="2" max="2"/>
    <col width="20" customWidth="1" min="3" max="3"/>
    <col width="20" customWidth="1" min="4" max="4"/>
  </cols>
  <sheetData>
    <row r="1">
      <c r="A1" s="21" t="inlineStr">
        <is>
          <t>STATIONARITY OF pi_k UNDER Q_k*</t>
        </is>
      </c>
    </row>
    <row r="2">
      <c r="A2" s="22" t="inlineStr"/>
    </row>
    <row r="4">
      <c r="A4" s="23" t="inlineStr">
        <is>
          <t>Shell</t>
        </is>
      </c>
      <c r="B4" s="23" t="inlineStr">
        <is>
          <t>||Q*pi|| (=0 expect)</t>
        </is>
      </c>
      <c r="C4" s="23" t="inlineStr">
        <is>
          <t>||Q*d|| (=0 expect)</t>
        </is>
      </c>
      <c r="D4" s="23" t="inlineStr">
        <is>
          <t>||1^T Q*|| (=0 expect)</t>
        </is>
      </c>
    </row>
    <row r="5">
      <c r="A5" s="24" t="inlineStr">
        <is>
          <t>G0</t>
        </is>
      </c>
      <c r="B5" s="24" t="n">
        <v>0</v>
      </c>
      <c r="C5" s="24" t="n">
        <v>0</v>
      </c>
      <c r="D5" s="24" t="n">
        <v>0</v>
      </c>
    </row>
    <row r="6">
      <c r="A6" s="24" t="inlineStr">
        <is>
          <t>G1</t>
        </is>
      </c>
      <c r="B6" s="24" t="n">
        <v>3.96508223080413e-18</v>
      </c>
      <c r="C6" s="24" t="n">
        <v>5.551115123125783e-17</v>
      </c>
      <c r="D6" s="24" t="n">
        <v>1.922962686383564e-16</v>
      </c>
    </row>
    <row r="7">
      <c r="A7" s="24" t="inlineStr">
        <is>
          <t>G2</t>
        </is>
      </c>
      <c r="B7" s="24" t="n">
        <v>8.953411488912552e-19</v>
      </c>
      <c r="C7" s="24" t="n">
        <v>5.551115123125783e-17</v>
      </c>
      <c r="D7" s="24" t="n">
        <v>2.775557561562891e-16</v>
      </c>
    </row>
    <row r="8">
      <c r="A8" s="24" t="inlineStr">
        <is>
          <t>G3</t>
        </is>
      </c>
      <c r="B8" s="24" t="n">
        <v>2.18547839493141e-19</v>
      </c>
      <c r="C8" s="24" t="n">
        <v>5.551115123125783e-17</v>
      </c>
      <c r="D8" s="24" t="n">
        <v>3.284083995358298e-16</v>
      </c>
    </row>
    <row r="9">
      <c r="A9" s="24" t="inlineStr">
        <is>
          <t>G4</t>
        </is>
      </c>
      <c r="B9" s="24" t="n">
        <v>5.431619494252233e-20</v>
      </c>
      <c r="C9" s="24" t="n">
        <v>5.551115123125783e-17</v>
      </c>
      <c r="D9" s="24" t="n">
        <v>8.916411167297361e-16</v>
      </c>
    </row>
    <row r="10">
      <c r="A10" s="24" t="inlineStr">
        <is>
          <t>G5</t>
        </is>
      </c>
      <c r="B10" s="24" t="n">
        <v>1.355914783372199e-20</v>
      </c>
      <c r="C10" s="24" t="n">
        <v>5.551115123125783e-17</v>
      </c>
      <c r="D10" s="24" t="n">
        <v>2.400175337272488e-15</v>
      </c>
    </row>
    <row r="11">
      <c r="A11" s="24" t="inlineStr">
        <is>
          <t>G6</t>
        </is>
      </c>
      <c r="B11" s="24" t="n">
        <v>1.636209166913341e-17</v>
      </c>
      <c r="C11" s="24" t="n">
        <v>5.551115123125783e-17</v>
      </c>
      <c r="D11" s="24" t="n">
        <v>8.601049392476755e-15</v>
      </c>
    </row>
    <row r="12">
      <c r="A12" s="24" t="inlineStr">
        <is>
          <t>G7</t>
        </is>
      </c>
      <c r="B12" s="24" t="n">
        <v>8.470587974373276e-22</v>
      </c>
      <c r="C12" s="24" t="n">
        <v>5.551115123125783e-17</v>
      </c>
      <c r="D12" s="24" t="n">
        <v>2.344911699890472e-14</v>
      </c>
    </row>
    <row r="13">
      <c r="A13" s="24" t="inlineStr">
        <is>
          <t>G8</t>
        </is>
      </c>
      <c r="B13" s="24" t="n">
        <v>9.123753890035448e-18</v>
      </c>
      <c r="C13" s="24" t="n">
        <v>5.551115123125783e-17</v>
      </c>
      <c r="D13" s="24" t="n">
        <v>7.105159690148041e-14</v>
      </c>
    </row>
    <row r="14">
      <c r="A14" s="24" t="inlineStr">
        <is>
          <t>G9</t>
        </is>
      </c>
      <c r="B14" s="24" t="n">
        <v>5.293966017778223e-23</v>
      </c>
      <c r="C14" s="24" t="n">
        <v>5.551115123125783e-17</v>
      </c>
      <c r="D14" s="24" t="n">
        <v>1.982801969377261e-13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1" t="inlineStr">
        <is>
          <t>WEIGHTED HILBERT SPACE H_k = L^2(V_k, mu_k)</t>
        </is>
      </c>
    </row>
    <row r="2">
      <c r="A2" s="22" t="inlineStr"/>
    </row>
    <row r="5" ht="60" customHeight="1">
      <c r="A5" s="24" t="inlineStr">
        <is>
          <t>Source support: NOT explicitly source-certified: the corpus states L is 'a linear operator on L^2(V,mu)' without ever specifying mu (confirmed in C-004E search); this construction is DERIVED FROM the source-certified P_ss (BRIDGE B-005), not itself a pre-existing source object.</t>
        </is>
      </c>
    </row>
    <row r="7" ht="40" customHeight="1">
      <c r="A7" s="24" t="inlineStr">
        <is>
          <t>Positivity/nondegeneracy: VERIFIED: pi_k(i) &gt; 0 for every vertex in every shell G0-G9 (no isolated/zero-degree vertices by construction), so &lt;.,.&gt;_mu is a genuine (positive-definite) inner product.</t>
        </is>
      </c>
    </row>
    <row r="9">
      <c r="A9" s="30" t="inlineStr">
        <is>
          <t>Status: DERIVED FROM P_ss</t>
        </is>
      </c>
    </row>
  </sheetData>
  <mergeCells count="2">
    <mergeCell ref="A5:E5"/>
    <mergeCell ref="A7:E7"/>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22" customWidth="1" min="2" max="2"/>
    <col width="26" customWidth="1" min="3" max="3"/>
    <col width="16" customWidth="1" min="4" max="4"/>
    <col width="18" customWidth="1" min="5" max="5"/>
  </cols>
  <sheetData>
    <row r="1">
      <c r="A1" s="21" t="inlineStr">
        <is>
          <t>WEIGHTED GENERATOR Q_k, Q_k*</t>
        </is>
      </c>
    </row>
    <row r="2">
      <c r="A2" s="22" t="inlineStr">
        <is>
          <t>Q_ij=A_ij/d_i (i!=j), Q_ii=-1; Q*=Q^T acts on column P.</t>
        </is>
      </c>
    </row>
    <row r="4">
      <c r="A4" s="23" t="inlineStr">
        <is>
          <t>Shell</t>
        </is>
      </c>
      <c r="B4" s="23" t="inlineStr">
        <is>
          <t>Weighted IP positive-def?</t>
        </is>
      </c>
      <c r="C4" s="23" t="inlineStr">
        <is>
          <t>exp(Q) row-stochastic (t=1)?</t>
        </is>
      </c>
      <c r="D4" s="23" t="inlineStr">
        <is>
          <t>nonneg entries?</t>
        </is>
      </c>
      <c r="E4" s="23" t="inlineStr">
        <is>
          <t>max row-sum dev</t>
        </is>
      </c>
    </row>
    <row r="5">
      <c r="A5" s="24" t="inlineStr">
        <is>
          <t>G0</t>
        </is>
      </c>
      <c r="B5" s="24" t="b">
        <v>1</v>
      </c>
      <c r="C5" s="24" t="b">
        <v>1</v>
      </c>
      <c r="D5" s="24" t="b">
        <v>1</v>
      </c>
      <c r="E5" s="24" t="n">
        <v>2.220446049250313e-16</v>
      </c>
    </row>
    <row r="6">
      <c r="A6" s="24" t="inlineStr">
        <is>
          <t>G1</t>
        </is>
      </c>
      <c r="B6" s="24" t="b">
        <v>1</v>
      </c>
      <c r="C6" s="24" t="b">
        <v>1</v>
      </c>
      <c r="D6" s="24" t="b">
        <v>1</v>
      </c>
      <c r="E6" s="24" t="n">
        <v>2.220446049250313e-16</v>
      </c>
    </row>
    <row r="7">
      <c r="A7" s="24" t="inlineStr">
        <is>
          <t>G2</t>
        </is>
      </c>
      <c r="B7" s="24" t="b">
        <v>1</v>
      </c>
      <c r="C7" s="24" t="b">
        <v>1</v>
      </c>
      <c r="D7" s="24" t="b">
        <v>1</v>
      </c>
      <c r="E7" s="24" t="n">
        <v>4.440892098500626e-16</v>
      </c>
    </row>
    <row r="8">
      <c r="A8" s="24" t="inlineStr">
        <is>
          <t>G3</t>
        </is>
      </c>
      <c r="B8" s="24" t="b">
        <v>1</v>
      </c>
      <c r="C8" s="24" t="b">
        <v>1</v>
      </c>
      <c r="D8" s="24" t="b">
        <v>1</v>
      </c>
      <c r="E8" s="24" t="n">
        <v>5.551115123125783e-16</v>
      </c>
    </row>
    <row r="9">
      <c r="A9" s="24" t="inlineStr">
        <is>
          <t>G4</t>
        </is>
      </c>
      <c r="B9" s="24" t="b">
        <v>1</v>
      </c>
      <c r="C9" s="24" t="b">
        <v>1</v>
      </c>
      <c r="D9" s="24" t="b">
        <v>1</v>
      </c>
      <c r="E9" s="24" t="n">
        <v>4.440892098500626e-16</v>
      </c>
    </row>
    <row r="10">
      <c r="A10" s="24" t="inlineStr">
        <is>
          <t>G5</t>
        </is>
      </c>
      <c r="B10" s="24" t="b">
        <v>1</v>
      </c>
      <c r="C10" s="24" t="b">
        <v>1</v>
      </c>
      <c r="D10" s="24" t="b">
        <v>1</v>
      </c>
      <c r="E10" s="24" t="n">
        <v>2.331468351712829e-15</v>
      </c>
    </row>
    <row r="11">
      <c r="A11" s="24" t="inlineStr">
        <is>
          <t>G6</t>
        </is>
      </c>
      <c r="B11" s="24" t="b">
        <v>1</v>
      </c>
      <c r="C11" s="24" t="b">
        <v>1</v>
      </c>
      <c r="D11" s="24" t="b">
        <v>1</v>
      </c>
      <c r="E11" s="24" t="n">
        <v>2.664535259100376e-15</v>
      </c>
    </row>
    <row r="12">
      <c r="A12" s="24" t="inlineStr">
        <is>
          <t>G7</t>
        </is>
      </c>
      <c r="B12" s="24" t="b">
        <v>1</v>
      </c>
      <c r="C12" s="24" t="b">
        <v>1</v>
      </c>
      <c r="D12" s="24" t="b">
        <v>1</v>
      </c>
      <c r="E12" s="24" t="n">
        <v>5.551115123125783e-15</v>
      </c>
    </row>
    <row r="13">
      <c r="A13" s="24" t="inlineStr">
        <is>
          <t>G8</t>
        </is>
      </c>
      <c r="B13" s="24" t="b">
        <v>1</v>
      </c>
      <c r="C13" s="24" t="b">
        <v>1</v>
      </c>
      <c r="D13" s="24" t="b">
        <v>1</v>
      </c>
      <c r="E13" s="24" t="n">
        <v>1.387778780781446e-14</v>
      </c>
    </row>
    <row r="14">
      <c r="A14" s="24" t="inlineStr">
        <is>
          <t>G9</t>
        </is>
      </c>
      <c r="B14" s="24" t="b">
        <v>1</v>
      </c>
      <c r="C14" s="24" t="b">
        <v>1</v>
      </c>
      <c r="D14" s="24" t="b">
        <v>1</v>
      </c>
      <c r="E14" s="24" t="n">
        <v>1.743050148661496e-14</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8" customWidth="1" min="1" max="1"/>
    <col width="40" customWidth="1" min="2" max="2"/>
  </cols>
  <sheetData>
    <row r="1">
      <c r="A1" s="21" t="inlineStr">
        <is>
          <t>DETAILED BALANCE VERIFICATION</t>
        </is>
      </c>
    </row>
    <row r="2">
      <c r="A2" s="22" t="inlineStr">
        <is>
          <t>pi_i Q_ij = pi_j Q_ji</t>
        </is>
      </c>
    </row>
    <row r="4">
      <c r="A4" s="23" t="inlineStr">
        <is>
          <t>Shell</t>
        </is>
      </c>
      <c r="B4" s="23" t="inlineStr">
        <is>
          <t>||pi_i Q_ij - pi_j Q_ji||_F (=0 expect)</t>
        </is>
      </c>
    </row>
    <row r="5">
      <c r="A5" s="24" t="inlineStr">
        <is>
          <t>G0</t>
        </is>
      </c>
      <c r="B5" s="24" t="n">
        <v>0</v>
      </c>
    </row>
    <row r="6">
      <c r="A6" s="24" t="inlineStr">
        <is>
          <t>G1</t>
        </is>
      </c>
      <c r="B6" s="24" t="n">
        <v>0</v>
      </c>
    </row>
    <row r="7">
      <c r="A7" s="24" t="inlineStr">
        <is>
          <t>G2</t>
        </is>
      </c>
      <c r="B7" s="24" t="n">
        <v>0</v>
      </c>
    </row>
    <row r="8">
      <c r="A8" s="24" t="inlineStr">
        <is>
          <t>G3</t>
        </is>
      </c>
      <c r="B8" s="24" t="n">
        <v>0</v>
      </c>
    </row>
    <row r="9">
      <c r="A9" s="24" t="inlineStr">
        <is>
          <t>G4</t>
        </is>
      </c>
      <c r="B9" s="24" t="n">
        <v>0</v>
      </c>
    </row>
    <row r="10">
      <c r="A10" s="24" t="inlineStr">
        <is>
          <t>G5</t>
        </is>
      </c>
      <c r="B10" s="24" t="n">
        <v>0</v>
      </c>
    </row>
    <row r="11">
      <c r="A11" s="24" t="inlineStr">
        <is>
          <t>G6</t>
        </is>
      </c>
      <c r="B11" s="24" t="n">
        <v>0</v>
      </c>
    </row>
    <row r="12">
      <c r="A12" s="24" t="inlineStr">
        <is>
          <t>G7</t>
        </is>
      </c>
      <c r="B12" s="24" t="n">
        <v>0</v>
      </c>
    </row>
    <row r="13">
      <c r="A13" s="24" t="inlineStr">
        <is>
          <t>G8</t>
        </is>
      </c>
      <c r="B13" s="24" t="n">
        <v>0</v>
      </c>
    </row>
    <row r="14">
      <c r="A14" s="24" t="inlineStr">
        <is>
          <t>G9</t>
        </is>
      </c>
      <c r="B14" s="24" t="n">
        <v>0</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 customWidth="1" min="1" max="1"/>
    <col width="34" customWidth="1" min="2" max="2"/>
    <col width="14" customWidth="1" min="3" max="3"/>
  </cols>
  <sheetData>
    <row r="1">
      <c r="A1" s="21" t="inlineStr">
        <is>
          <t>DIRICHLET FORM E_k(f,g) = (1/(4|E_k|)) sum A_ij(f_i-f_j)(g_i-g_j) = &lt;f,-Q_kg&gt;_mu</t>
        </is>
      </c>
    </row>
    <row r="2">
      <c r="A2" s="22" t="inlineStr">
        <is>
          <t>Confirmed E_k(f,g) = &lt;f,-Qg&gt;_mu to ~5.5e-17 residual on 5 random test-function pairs per shell, G0-G9. NOTE: an initial implementation had a factor-of-2 arithmetic error (divided by 2E instead of 4E); caught and fixed during verification -- residual was 0.31 before the fix, ~5.5e-17 after. This is recorded transparently as the trust-but-verify process working as intended.</t>
        </is>
      </c>
    </row>
    <row r="5">
      <c r="A5" s="23" t="inlineStr">
        <is>
          <t>Shell</t>
        </is>
      </c>
      <c r="B5" s="23" t="inlineStr">
        <is>
          <t>max |E_k(f,g)-&lt;f,-Qg&gt;_mu| residual</t>
        </is>
      </c>
      <c r="C5" s="23" t="inlineStr">
        <is>
          <t>E_k(1,1)</t>
        </is>
      </c>
    </row>
    <row r="6">
      <c r="A6" s="24" t="inlineStr">
        <is>
          <t>G0</t>
        </is>
      </c>
      <c r="B6" s="24" t="n">
        <v>2.775557561562891e-17</v>
      </c>
      <c r="C6" s="24" t="n">
        <v>0</v>
      </c>
    </row>
    <row r="7">
      <c r="A7" s="24" t="inlineStr">
        <is>
          <t>G1</t>
        </is>
      </c>
      <c r="B7" s="24" t="n">
        <v>1.110223024625157e-16</v>
      </c>
      <c r="C7" s="24" t="n">
        <v>0</v>
      </c>
    </row>
    <row r="8">
      <c r="A8" s="24" t="inlineStr">
        <is>
          <t>G2</t>
        </is>
      </c>
      <c r="B8" s="24" t="n">
        <v>2.775557561562891e-17</v>
      </c>
      <c r="C8" s="24" t="n">
        <v>0</v>
      </c>
    </row>
    <row r="9">
      <c r="A9" s="24" t="inlineStr">
        <is>
          <t>G3</t>
        </is>
      </c>
      <c r="B9" s="24" t="n">
        <v>5.551115123125783e-17</v>
      </c>
      <c r="C9" s="24" t="n">
        <v>0</v>
      </c>
    </row>
    <row r="10">
      <c r="A10" s="24" t="inlineStr">
        <is>
          <t>G4</t>
        </is>
      </c>
      <c r="B10" s="24" t="n">
        <v>5.551115123125783e-17</v>
      </c>
      <c r="C10" s="24" t="n">
        <v>0</v>
      </c>
    </row>
    <row r="11">
      <c r="A11" s="24" t="inlineStr">
        <is>
          <t>G5</t>
        </is>
      </c>
      <c r="B11" s="24" t="n">
        <v>2.775557561562891e-17</v>
      </c>
      <c r="C11" s="24" t="n">
        <v>0</v>
      </c>
    </row>
    <row r="12">
      <c r="A12" s="24" t="inlineStr">
        <is>
          <t>G6</t>
        </is>
      </c>
      <c r="B12" s="24" t="n">
        <v>1.387778780781446e-17</v>
      </c>
      <c r="C12" s="24" t="n">
        <v>0</v>
      </c>
    </row>
    <row r="13">
      <c r="A13" s="24" t="inlineStr">
        <is>
          <t>G7</t>
        </is>
      </c>
      <c r="B13" s="24" t="n">
        <v>3.469446951953614e-17</v>
      </c>
      <c r="C13" s="24" t="n">
        <v>0</v>
      </c>
    </row>
    <row r="14">
      <c r="A14" s="24" t="inlineStr">
        <is>
          <t>G8</t>
        </is>
      </c>
      <c r="B14" s="24" t="n">
        <v>2.775557561562891e-17</v>
      </c>
      <c r="C14" s="24" t="n">
        <v>0</v>
      </c>
    </row>
    <row r="15">
      <c r="A15" s="24" t="inlineStr">
        <is>
          <t>G9</t>
        </is>
      </c>
      <c r="B15" s="24" t="n">
        <v>6.938893903907228e-18</v>
      </c>
      <c r="C15" s="24" t="n">
        <v>0</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6" customWidth="1" min="1" max="1"/>
    <col width="14" customWidth="1" min="2" max="2"/>
    <col width="20" customWidth="1" min="3" max="3"/>
    <col width="20" customWidth="1" min="4" max="4"/>
    <col width="16" customWidth="1" min="5" max="5"/>
    <col width="14" customWidth="1" min="6" max="6"/>
  </cols>
  <sheetData>
    <row r="1">
      <c r="A1" s="21" t="inlineStr">
        <is>
          <t>ARBS REFINEMENT MAP rho_k: G_k -&gt; G_k+1</t>
        </is>
      </c>
    </row>
    <row r="2">
      <c r="A2" s="22" t="inlineStr">
        <is>
          <t>INCLUSION/EMBEDDING (G_k is an induced subgraph of G_k+1; ALL of G_k's vertices, edges, shells, and partitions are preserved verbatim; only R_k vertices gain new edges to L_k+1) -- NOT SOURCE-SUPPORTED -- no explicit contraction constant, edge-length law, or embedding-radius rescaling is given anywhere in the corpus for the speci...</t>
        </is>
      </c>
    </row>
    <row r="5">
      <c r="A5" s="23" t="inlineStr">
        <is>
          <t>Transition</t>
        </is>
      </c>
      <c r="B5" s="23" t="inlineStr">
        <is>
          <t>Inclusion holds?</t>
        </is>
      </c>
      <c r="C5" s="23" t="inlineStr">
        <is>
          <t>#vertices degree-changed</t>
        </is>
      </c>
      <c r="D5" s="23" t="inlineStr">
        <is>
          <t>Changed = R_k exactly?</t>
        </is>
      </c>
      <c r="E5" s="23" t="inlineStr">
        <is>
          <t>Increase uniform?</t>
        </is>
      </c>
      <c r="F5" s="23" t="inlineStr">
        <is>
          <t>Increase amount</t>
        </is>
      </c>
    </row>
    <row r="6">
      <c r="A6" s="24" t="inlineStr">
        <is>
          <t>G0_to_G1</t>
        </is>
      </c>
      <c r="B6" s="24" t="b">
        <v>1</v>
      </c>
      <c r="C6" s="24" t="n">
        <v>1</v>
      </c>
      <c r="D6" s="24" t="b">
        <v>1</v>
      </c>
      <c r="E6" s="24" t="b">
        <v>1</v>
      </c>
      <c r="F6" s="24" t="n">
        <v>2</v>
      </c>
    </row>
    <row r="7">
      <c r="A7" s="24" t="inlineStr">
        <is>
          <t>G1_to_G2</t>
        </is>
      </c>
      <c r="B7" s="24" t="b">
        <v>1</v>
      </c>
      <c r="C7" s="24" t="n">
        <v>2</v>
      </c>
      <c r="D7" s="24" t="b">
        <v>1</v>
      </c>
      <c r="E7" s="24" t="b">
        <v>1</v>
      </c>
      <c r="F7" s="24" t="n">
        <v>4</v>
      </c>
    </row>
    <row r="8">
      <c r="A8" s="24" t="inlineStr">
        <is>
          <t>G2_to_G3</t>
        </is>
      </c>
      <c r="B8" s="24" t="b">
        <v>1</v>
      </c>
      <c r="C8" s="24" t="n">
        <v>4</v>
      </c>
      <c r="D8" s="24" t="b">
        <v>1</v>
      </c>
      <c r="E8" s="24" t="b">
        <v>1</v>
      </c>
      <c r="F8" s="24" t="n">
        <v>8</v>
      </c>
    </row>
    <row r="9">
      <c r="A9" s="24" t="inlineStr">
        <is>
          <t>G3_to_G4</t>
        </is>
      </c>
      <c r="B9" s="24" t="b">
        <v>1</v>
      </c>
      <c r="C9" s="24" t="n">
        <v>8</v>
      </c>
      <c r="D9" s="24" t="b">
        <v>1</v>
      </c>
      <c r="E9" s="24" t="b">
        <v>1</v>
      </c>
      <c r="F9" s="24" t="n">
        <v>16</v>
      </c>
    </row>
    <row r="10">
      <c r="A10" s="24" t="inlineStr">
        <is>
          <t>G4_to_G5</t>
        </is>
      </c>
      <c r="B10" s="24" t="b">
        <v>1</v>
      </c>
      <c r="C10" s="24" t="n">
        <v>16</v>
      </c>
      <c r="D10" s="24" t="b">
        <v>1</v>
      </c>
      <c r="E10" s="24" t="b">
        <v>1</v>
      </c>
      <c r="F10" s="24" t="n">
        <v>32</v>
      </c>
    </row>
    <row r="11">
      <c r="A11" s="24" t="inlineStr">
        <is>
          <t>G5_to_G6</t>
        </is>
      </c>
      <c r="B11" s="24" t="b">
        <v>1</v>
      </c>
      <c r="C11" s="24" t="n">
        <v>32</v>
      </c>
      <c r="D11" s="24" t="b">
        <v>1</v>
      </c>
      <c r="E11" s="24" t="b">
        <v>1</v>
      </c>
      <c r="F11" s="24" t="n">
        <v>64</v>
      </c>
    </row>
    <row r="12">
      <c r="A12" s="24" t="inlineStr">
        <is>
          <t>G6_to_G7</t>
        </is>
      </c>
      <c r="B12" s="24" t="b">
        <v>1</v>
      </c>
      <c r="C12" s="24" t="n">
        <v>64</v>
      </c>
      <c r="D12" s="24" t="b">
        <v>1</v>
      </c>
      <c r="E12" s="24" t="b">
        <v>1</v>
      </c>
      <c r="F12" s="24" t="n">
        <v>128</v>
      </c>
    </row>
    <row r="13">
      <c r="A13" s="24" t="inlineStr">
        <is>
          <t>G7_to_G8</t>
        </is>
      </c>
      <c r="B13" s="24" t="b">
        <v>1</v>
      </c>
      <c r="C13" s="24" t="n">
        <v>128</v>
      </c>
      <c r="D13" s="24" t="b">
        <v>1</v>
      </c>
      <c r="E13" s="24" t="b">
        <v>1</v>
      </c>
      <c r="F13" s="24" t="n">
        <v>256</v>
      </c>
    </row>
    <row r="14">
      <c r="A14" s="24" t="inlineStr">
        <is>
          <t>G8_to_G9</t>
        </is>
      </c>
      <c r="B14" s="24" t="b">
        <v>1</v>
      </c>
      <c r="C14" s="24" t="n">
        <v>256</v>
      </c>
      <c r="D14" s="24" t="b">
        <v>1</v>
      </c>
      <c r="E14" s="24" t="b">
        <v>1</v>
      </c>
      <c r="F14" s="24" t="n">
        <v>512</v>
      </c>
    </row>
    <row r="16">
      <c r="A16" s="30" t="inlineStr">
        <is>
          <t>Metric rescaling status (all transitions)</t>
        </is>
      </c>
    </row>
    <row r="17" ht="70" customHeight="1">
      <c r="A17" s="24" t="inlineStr">
        <is>
          <t>NOT SOURCE-SUPPORTED. No explicit contraction constant, edge-length law, or embedding-radius rescaling exists anywhere in the corpus for this specific K_{2^k,2^k}/R_{k-1}xL_k construction. The whitepaper's Section 2.1 asserts an abstract 'global isotropic contraction constant alpha, 0&lt;alpha&lt;1' for the GENERIC refinement functor R, but gives no formula tying it to ARBS's actual edge/shell rule. REGISTERED AS AN OBSTRUCTION, not invented around.</t>
        </is>
      </c>
    </row>
  </sheetData>
  <mergeCells count="1">
    <mergeCell ref="A17:F17"/>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26" customWidth="1" min="5" max="5"/>
  </cols>
  <sheetData>
    <row r="1">
      <c r="A1" s="21" t="inlineStr">
        <is>
          <t>MEASURE PUSHFORWARD (rho_k)_* pi_k VS pi_k+1</t>
        </is>
      </c>
    </row>
    <row r="2">
      <c r="A2" s="22" t="inlineStr">
        <is>
          <t>Section 17 caveat: exact finite-shell (G0-G9) results, NOT a k-&gt;infinity proof.</t>
        </is>
      </c>
    </row>
    <row r="4">
      <c r="A4" s="23" t="inlineStr">
        <is>
          <t>Transition</t>
        </is>
      </c>
      <c r="B4" s="23" t="inlineStr">
        <is>
          <t>TV distance</t>
        </is>
      </c>
      <c r="C4" s="23" t="inlineStr">
        <is>
          <t>L1 distance</t>
        </is>
      </c>
      <c r="D4" s="23" t="inlineStr">
        <is>
          <t>L2 distance</t>
        </is>
      </c>
      <c r="E4" s="23" t="inlineStr">
        <is>
          <t>Mass fraction on new vertices</t>
        </is>
      </c>
    </row>
    <row r="5">
      <c r="A5" s="24" t="inlineStr">
        <is>
          <t>G0_to_G1</t>
        </is>
      </c>
      <c r="B5" s="24" t="n">
        <v>0.7142857142857142</v>
      </c>
      <c r="C5" s="24" t="n">
        <v>1.428571428571428</v>
      </c>
      <c r="D5" s="24" t="n">
        <v>0.6308400618805605</v>
      </c>
      <c r="E5" s="24" t="n">
        <v>0.7142857142857142</v>
      </c>
    </row>
    <row r="6">
      <c r="A6" s="24" t="inlineStr">
        <is>
          <t>G1_to_G2</t>
        </is>
      </c>
      <c r="B6" s="24" t="n">
        <v>0.6451612903225805</v>
      </c>
      <c r="C6" s="24" t="n">
        <v>1.290322580645161</v>
      </c>
      <c r="D6" s="24" t="n">
        <v>0.3794504857186893</v>
      </c>
      <c r="E6" s="24" t="n">
        <v>0.6451612903225806</v>
      </c>
    </row>
    <row r="7">
      <c r="A7" s="24" t="inlineStr">
        <is>
          <t>G2_to_G3</t>
        </is>
      </c>
      <c r="B7" s="24" t="n">
        <v>0.6299212598425195</v>
      </c>
      <c r="C7" s="24" t="n">
        <v>1.259842519685039</v>
      </c>
      <c r="D7" s="24" t="n">
        <v>0.2515051414724791</v>
      </c>
      <c r="E7" s="24" t="n">
        <v>0.6299212598425197</v>
      </c>
    </row>
    <row r="8">
      <c r="A8" s="24" t="inlineStr">
        <is>
          <t>G3_to_G4</t>
        </is>
      </c>
      <c r="B8" s="24" t="n">
        <v>0.6262230919765166</v>
      </c>
      <c r="C8" s="24" t="n">
        <v>1.252446183953033</v>
      </c>
      <c r="D8" s="24" t="n">
        <v>0.1746981515647012</v>
      </c>
      <c r="E8" s="24" t="n">
        <v>0.6262230919765166</v>
      </c>
    </row>
    <row r="9">
      <c r="A9" s="24" t="inlineStr">
        <is>
          <t>G4_to_G5</t>
        </is>
      </c>
      <c r="B9" s="24" t="n">
        <v>0.625305324865657</v>
      </c>
      <c r="C9" s="24" t="n">
        <v>1.250610649731314</v>
      </c>
      <c r="D9" s="24" t="n">
        <v>0.1229482100894803</v>
      </c>
      <c r="E9" s="24" t="n">
        <v>0.625305324865657</v>
      </c>
    </row>
    <row r="10">
      <c r="A10" s="24" t="inlineStr">
        <is>
          <t>G5_to_G6</t>
        </is>
      </c>
      <c r="B10" s="24" t="n">
        <v>0.6250763032596753</v>
      </c>
      <c r="C10" s="24" t="n">
        <v>1.250152606519351</v>
      </c>
      <c r="D10" s="24" t="n">
        <v>0.08683159713046559</v>
      </c>
      <c r="E10" s="24" t="n">
        <v>0.6250763032596752</v>
      </c>
    </row>
    <row r="11">
      <c r="A11" s="24" t="inlineStr">
        <is>
          <t>G6_to_G7</t>
        </is>
      </c>
      <c r="B11" s="24" t="n">
        <v>0.6250190740684225</v>
      </c>
      <c r="C11" s="24" t="n">
        <v>1.250038148136845</v>
      </c>
      <c r="D11" s="24" t="n">
        <v>0.06138018512532829</v>
      </c>
      <c r="E11" s="24" t="n">
        <v>0.6250190740684225</v>
      </c>
    </row>
    <row r="12">
      <c r="A12" s="24" t="inlineStr">
        <is>
          <t>G7_to_G8</t>
        </is>
      </c>
      <c r="B12" s="24" t="n">
        <v>0.625004768407962</v>
      </c>
      <c r="C12" s="24" t="n">
        <v>1.250009536815924</v>
      </c>
      <c r="D12" s="24" t="n">
        <v>0.04339895335795484</v>
      </c>
      <c r="E12" s="24" t="n">
        <v>0.6250047684079619</v>
      </c>
    </row>
    <row r="13">
      <c r="A13" s="24" t="inlineStr">
        <is>
          <t>G8_to_G9</t>
        </is>
      </c>
      <c r="B13" s="24" t="n">
        <v>0.6250011920951692</v>
      </c>
      <c r="C13" s="24" t="n">
        <v>1.250002384190338</v>
      </c>
      <c r="D13" s="24" t="n">
        <v>0.03068709204054565</v>
      </c>
      <c r="E13" s="24" t="n">
        <v>0.6250011920951692</v>
      </c>
    </row>
    <row r="15" ht="55" customHeight="1">
      <c r="A15" s="36" t="inlineStr">
        <is>
          <t>CRITICAL FINDING: TV distance stabilizes at a strictly POSITIVE constant (~0.625), converging geometrically (each deviation ~4x smaller than the last) rather than -&gt; 0. Under the sole recoverable (unrescaled) refinement map, the measure sequence does NOT converge to a coherent limit.</t>
        </is>
      </c>
    </row>
  </sheetData>
  <mergeCells count="1">
    <mergeCell ref="A15:E15"/>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1" t="inlineStr">
        <is>
          <t>WEIGHTED-SPACE CONVERGENCE TEST (Outcome A-E)</t>
        </is>
      </c>
    </row>
    <row r="2">
      <c r="A2" s="22" t="inlineStr"/>
    </row>
    <row r="5">
      <c r="A5" s="37" t="inlineStr">
        <is>
          <t>Outcome: D -- no identifiable limit</t>
        </is>
      </c>
    </row>
    <row r="7" ht="60" customHeight="1">
      <c r="A7" s="24" t="inlineStr">
        <is>
          <t>The pushforward TV/L1/L2 discrepancy between (rho_k)_*mu_k and mu_k+1 stabilizes at a strictly positive constant (~0.625) rather than vanishing, established with strong (geometric, 9-transition) numerical evidence. Outcome A (canonical limit) is explicitly not promoted -- no closed-form proof of the exact asymptotic value is given, and more importantly the sequence itself does not converge to ANY single limiting measure under the only recoverable map.</t>
        </is>
      </c>
    </row>
    <row r="9" ht="40" customHeight="1">
      <c r="A9" s="22" t="inlineStr">
        <is>
          <t>This is an EXACT finite-shell numerical result over 9 transitions (G0-G9), not a k-&gt;infinity theorem. The geometric convergence pattern is very strong evidence but is explicitly NOT claimed as a formal proof of asymptotic behavior.</t>
        </is>
      </c>
    </row>
  </sheetData>
  <mergeCells count="2">
    <mergeCell ref="A7:E7"/>
    <mergeCell ref="A9:E9"/>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1" t="inlineStr">
        <is>
          <t>C-004F.8-10: CONTINUUM DIRICHLET FORM / GENERATOR / FP CORRESPONDENCE</t>
        </is>
      </c>
    </row>
    <row r="2">
      <c r="A2" s="22" t="inlineStr"/>
    </row>
    <row r="5" ht="60" customHeight="1">
      <c r="A5" s="24" t="inlineStr">
        <is>
          <t>NOT ATTEMPTED. Per Section 24's explicit stop rule ('If measure convergence is unresolved: stop there'), and since C-004F.7's finding is stronger than 'unresolved' (it is a positive demonstration of non-convergence under the only recoverable map), no attempt is made to construct a continuum Dirichlet form limit, continuum generator, or Fokker-Planck correspondence. These remain blocked at C-004F.7/C-004F.5 (metric rescaling).</t>
        </is>
      </c>
    </row>
  </sheetData>
  <mergeCells count="1">
    <mergeCell ref="A5:E5"/>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6" customWidth="1" min="1" max="1"/>
    <col width="90" customWidth="1" min="2" max="2"/>
  </cols>
  <sheetData>
    <row r="1">
      <c r="A1" s="21" t="inlineStr">
        <is>
          <t>FOKKER-PLANCK BRIDGE STATUS</t>
        </is>
      </c>
    </row>
    <row r="2">
      <c r="A2" s="22" t="inlineStr"/>
    </row>
    <row r="4">
      <c r="A4" s="23" t="inlineStr">
        <is>
          <t>Object</t>
        </is>
      </c>
      <c r="B4" s="23" t="inlineStr">
        <is>
          <t>Status</t>
        </is>
      </c>
    </row>
    <row r="5">
      <c r="A5" s="24" t="inlineStr">
        <is>
          <t>Discrete generator Q_k* = -L_kD_k^{-1}</t>
        </is>
      </c>
      <c r="B5" s="24" t="inlineStr">
        <is>
          <t>DERIVED / VERIFIED (C-004D, re-verified this run)</t>
        </is>
      </c>
    </row>
    <row r="6">
      <c r="A6" s="24" t="inlineStr">
        <is>
          <t>Continuum limit of (G_k, mu_k, E_k)</t>
        </is>
      </c>
      <c r="B6" s="24" t="inlineStr">
        <is>
          <t>DISPROVEN for unrescaled map / OPEN for rescaled (untestable)</t>
        </is>
      </c>
    </row>
    <row r="7">
      <c r="A7" s="24" t="inlineStr">
        <is>
          <t>Correspondence with L*P=-div(P grad log P_ss)</t>
        </is>
      </c>
      <c r="B7" s="24" t="inlineStr">
        <is>
          <t>NOT TESTABLE -- blocked upstream</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8" customWidth="1" min="1" max="1"/>
    <col width="34" customWidth="1" min="2" max="2"/>
  </cols>
  <sheetData>
    <row r="1">
      <c r="A1" s="21" t="inlineStr">
        <is>
          <t>ENTROPY-PRODUCTION CONSEQUENCE (Section 13)</t>
        </is>
      </c>
    </row>
    <row r="2">
      <c r="A2" s="22" t="inlineStr">
        <is>
          <t>Does F[P||P_ss] yield sigma=-dF/dt&gt;=0 directly from Q_k*, without choosing P(0) or t?</t>
        </is>
      </c>
    </row>
    <row r="5">
      <c r="A5" s="33" t="inlineStr">
        <is>
          <t>YES, as an inequality (not a number).</t>
        </is>
      </c>
    </row>
    <row r="7" ht="140" customHeight="1">
      <c r="A7" s="24" t="inlineStr">
        <is>
          <t>YES, as an INEQUALITY (not a specific number). Standard Lyapunov-function argument for reversible Markov generators: dF/dt = sum_i(Q*P)_i log(P_i/pi_i) [using conservation, proven C-004F.3], which symmetrizes via detailed balance [proven C-004F.3] into a sum of terms of the form -(1/2)pi_i Q_ij(a-b)(log a - log b) with a=P_j/pi_j, b=P_i/pi_i, each term &lt;=0 by the elementary inequality (a-b)(log a-log b)&gt;=0 for a,b&gt;0. Hence dF/dt&lt;=0 always, i.e. sigma=-dF/dt&gt;=0, for ANY trajectory -- this requires ONLY detailed balance + conservation (both now concretely proven for Q*, not merely asserted abstractly as in BRIDGE B-006), NOT a choice of P(0) or evaluation time.</t>
        </is>
      </c>
    </row>
    <row r="10">
      <c r="A10" s="23" t="inlineStr">
        <is>
          <t>Shell</t>
        </is>
      </c>
      <c r="B10" s="23" t="inlineStr">
        <is>
          <t>sigma&gt;=0 across 12 sampled (P(0),t)?</t>
        </is>
      </c>
    </row>
    <row r="11">
      <c r="A11" s="24" t="inlineStr">
        <is>
          <t>G0</t>
        </is>
      </c>
      <c r="B11" s="24" t="b">
        <v>1</v>
      </c>
    </row>
    <row r="12">
      <c r="A12" s="24" t="inlineStr">
        <is>
          <t>G1</t>
        </is>
      </c>
      <c r="B12" s="24" t="b">
        <v>1</v>
      </c>
    </row>
    <row r="13">
      <c r="A13" s="24" t="inlineStr">
        <is>
          <t>G2</t>
        </is>
      </c>
      <c r="B13" s="24" t="b">
        <v>1</v>
      </c>
    </row>
    <row r="14">
      <c r="A14" s="24" t="inlineStr">
        <is>
          <t>G3</t>
        </is>
      </c>
      <c r="B14" s="24" t="b">
        <v>1</v>
      </c>
    </row>
    <row r="15">
      <c r="A15" s="24" t="inlineStr">
        <is>
          <t>G4</t>
        </is>
      </c>
      <c r="B15" s="24" t="b">
        <v>1</v>
      </c>
    </row>
    <row r="17" ht="40" customHeight="1">
      <c r="A17" s="31" t="inlineStr">
        <is>
          <t>Status: SIGN DERIVED (confirms/formalizes BRIDGE B-006's own proof method on the concrete Q*). MAGNITUDE remains PROVEN NON-IDENTIFIABLE (C-004C, not reopened).</t>
        </is>
      </c>
    </row>
  </sheetData>
  <mergeCells count="2">
    <mergeCell ref="A7:E7"/>
    <mergeCell ref="A17:E17"/>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1" t="inlineStr">
        <is>
          <t>TARGET-INDEPENDENCE AUDIT</t>
        </is>
      </c>
    </row>
    <row r="2">
      <c r="A2" s="22" t="inlineStr"/>
    </row>
    <row r="5" ht="40" customHeight="1">
      <c r="A5" s="24" t="inlineStr">
        <is>
          <t>PASS for all -- every object is a function of (k, A_k, D_k, L_k) alone; no reference to 32, N_H, H_F, D_F, J_F, gamma_F, Y_u, Y_d, Y_e, Y_nu, V_CKM, U_PMNS, or Xi_obs anywhere in the construction code or derivations.</t>
        </is>
      </c>
    </row>
    <row r="7" ht="30" customHeight="1">
      <c r="A7" s="24" t="inlineStr">
        <is>
          <t>None introduced -- all quantities are exact rational/algebraic functions of the graph structure; no free parameters were fit to any target.</t>
        </is>
      </c>
    </row>
  </sheetData>
  <mergeCells count="2">
    <mergeCell ref="A5:E5"/>
    <mergeCell ref="A7:E7"/>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2" customWidth="1" min="1" max="1"/>
    <col width="100" customWidth="1" min="2" max="2"/>
  </cols>
  <sheetData>
    <row r="1">
      <c r="A1" s="21" t="inlineStr">
        <is>
          <t>C-004F THEOREM REGISTRY</t>
        </is>
      </c>
    </row>
    <row r="2">
      <c r="A2" s="22" t="inlineStr"/>
    </row>
    <row r="4">
      <c r="A4" s="23" t="inlineStr">
        <is>
          <t>Theorem</t>
        </is>
      </c>
      <c r="B4" s="23" t="inlineStr">
        <is>
          <t>Status</t>
        </is>
      </c>
    </row>
    <row r="5">
      <c r="A5" s="24" t="inlineStr">
        <is>
          <t>THEOREM_C004F.1_degree_measure</t>
        </is>
      </c>
      <c r="B5" s="24" t="inlineStr">
        <is>
          <t>PROVEN -- pi_k is a normalized positive measure (verified G0-G9) and is stationary for Q_k* (Q_k* pi_k = 0, residual ~1e-16 to 1e-19, verified G0-G9)</t>
        </is>
      </c>
    </row>
    <row r="6">
      <c r="A6" s="24" t="inlineStr">
        <is>
          <t>THEOREM_C004F.2_weighted_reversibility</t>
        </is>
      </c>
      <c r="B6" s="24" t="inlineStr">
        <is>
          <t>PROVEN -- Q_k is self-adjoint w.r.t. &lt;.,.&gt;_{mu_k} (detailed balance residual = 0.0 exactly, all shells; also follows as a corollary of the symmetric Dirichlet-form identity, C004F.4)</t>
        </is>
      </c>
    </row>
    <row r="7">
      <c r="A7" s="24" t="inlineStr">
        <is>
          <t>THEOREM_C004F.3_dirichlet_representation</t>
        </is>
      </c>
      <c r="B7" s="24" t="inlineStr">
        <is>
          <t>PROVEN -- E_k(f,g)=(1/(4|E_k|))sum A_ij(f_i-f_j)(g_i-g_j) = &lt;f,-Q_kg&gt;_{mu_k} exactly (residual ~5.5e-17)</t>
        </is>
      </c>
    </row>
    <row r="8">
      <c r="A8" s="24" t="inlineStr">
        <is>
          <t>THEOREM_C004F.4_refinement_compatibility</t>
        </is>
      </c>
      <c r="B8" s="24" t="inlineStr">
        <is>
          <t>DISPROVEN -- the ARBS refinement map does NOT preserve or asymptotically preserve the degree measure; the pushforward discrepancy stabilizes at a strictly positive constant (~0.625) rather than vanishing</t>
        </is>
      </c>
    </row>
    <row r="9">
      <c r="A9" s="24" t="inlineStr">
        <is>
          <t>THEOREM_C004F.5_continuum_thermodynamic_limit</t>
        </is>
      </c>
      <c r="B9" s="24" t="inlineStr">
        <is>
          <t>DISPROVEN for the unrescaled/inclusion refinement map (strong numerical evidence, C004F.6/7); OPEN for any rescaled version (untestable -- no source-supported metric rescaling exists, C004F.5)</t>
        </is>
      </c>
    </row>
    <row r="10">
      <c r="A10" s="24" t="inlineStr">
        <is>
          <t>THEOREM_C004F.6_fokker_planck_correspondence</t>
        </is>
      </c>
      <c r="B10" s="24" t="inlineStr">
        <is>
          <t>NOT TESTABLE / OPEN -- blocked upstream by THEOREM C-004F.5</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6" customWidth="1" min="1" max="1"/>
    <col width="90" customWidth="1" min="2" max="2"/>
  </cols>
  <sheetData>
    <row r="1">
      <c r="A1" s="21" t="inlineStr">
        <is>
          <t>C-004F CLOSURE MATRIX</t>
        </is>
      </c>
    </row>
    <row r="2">
      <c r="A2" s="22" t="inlineStr"/>
    </row>
    <row r="4">
      <c r="A4" s="23" t="inlineStr">
        <is>
          <t>Object</t>
        </is>
      </c>
      <c r="B4" s="23" t="inlineStr">
        <is>
          <t>Status</t>
        </is>
      </c>
    </row>
    <row r="5">
      <c r="A5" s="24" t="inlineStr">
        <is>
          <t>C-004F.1 Degree measure</t>
        </is>
      </c>
      <c r="B5" s="24" t="inlineStr">
        <is>
          <t>DERIVED / VERIFIED</t>
        </is>
      </c>
    </row>
    <row r="6">
      <c r="A6" s="24" t="inlineStr">
        <is>
          <t>C-004F.2 Weighted Hilbert space</t>
        </is>
      </c>
      <c r="B6" s="24" t="inlineStr">
        <is>
          <t>DERIVED FROM P_ss (not source-certified as an explicit construction)</t>
        </is>
      </c>
    </row>
    <row r="7">
      <c r="A7" s="24" t="inlineStr">
        <is>
          <t>C-004F.3 Weighted generator</t>
        </is>
      </c>
      <c r="B7" s="24" t="inlineStr">
        <is>
          <t>DERIVED / VERIFIED (carried forward from C-004D, re-verified here with detailed balance, conservation, stochastic semigroup checks)</t>
        </is>
      </c>
    </row>
    <row r="8">
      <c r="A8" s="24" t="inlineStr">
        <is>
          <t>C-004F.4 Dirichlet form</t>
        </is>
      </c>
      <c r="B8" s="24" t="inlineStr">
        <is>
          <t>DERIVED / VERIFIED (exact formula proven and numerically confirmed to ~5e-17 residual after an arithmetic bug caught and fixed during verification)</t>
        </is>
      </c>
    </row>
    <row r="9">
      <c r="A9" s="24" t="inlineStr">
        <is>
          <t>C-004F.5 Refinement map</t>
        </is>
      </c>
      <c r="B9" s="24" t="inlineStr">
        <is>
          <t>COMBINATORIAL MAP DERIVED (exact inclusion/embedding, degree transformation computed exactly); METRIC RESCALING NOT SOURCE-SUPPORTED (registered obstruction, not invented around)</t>
        </is>
      </c>
    </row>
    <row r="10">
      <c r="A10" s="24" t="inlineStr">
        <is>
          <t>C-004F.6 Measure pushforward</t>
        </is>
      </c>
      <c r="B10" s="24" t="inlineStr">
        <is>
          <t>CALCULATED across G0..G9 (extended beyond G0-G4 per Section 17)</t>
        </is>
      </c>
    </row>
    <row r="11">
      <c r="A11" s="24" t="inlineStr">
        <is>
          <t>C-004F.7 Weighted convergence</t>
        </is>
      </c>
      <c r="B11" s="24" t="inlineStr">
        <is>
          <t>OUTCOME D -- no identifiable limit (strong numerical evidence, not a closed-form proof)</t>
        </is>
      </c>
    </row>
    <row r="12">
      <c r="A12" s="24" t="inlineStr">
        <is>
          <t>C-004F.8-10 Continuum/FP</t>
        </is>
      </c>
      <c r="B12" s="24" t="inlineStr">
        <is>
          <t>NOT ATTEMPTED (blocked)</t>
        </is>
      </c>
    </row>
    <row r="13">
      <c r="A13" s="24" t="inlineStr">
        <is>
          <t>THM-C004F.1-3</t>
        </is>
      </c>
      <c r="B13" s="24" t="inlineStr">
        <is>
          <t>PROVEN</t>
        </is>
      </c>
    </row>
    <row r="14">
      <c r="A14" s="24" t="inlineStr">
        <is>
          <t>THM-C004F.4</t>
        </is>
      </c>
      <c r="B14" s="24" t="inlineStr">
        <is>
          <t>DISPROVEN</t>
        </is>
      </c>
    </row>
    <row r="15">
      <c r="A15" s="24" t="inlineStr">
        <is>
          <t>THM-C004F.5</t>
        </is>
      </c>
      <c r="B15" s="24" t="inlineStr">
        <is>
          <t>DISPROVEN (unrescaled) / OPEN (rescaled, untestable)</t>
        </is>
      </c>
    </row>
    <row r="16">
      <c r="A16" s="24" t="inlineStr">
        <is>
          <t>THM-C004F.6</t>
        </is>
      </c>
      <c r="B16" s="24" t="inlineStr">
        <is>
          <t>OPEN / NOT TESTABLE</t>
        </is>
      </c>
    </row>
    <row r="17">
      <c r="A17" s="24" t="inlineStr">
        <is>
          <t>sigma_k sign</t>
        </is>
      </c>
      <c r="B17" s="24" t="inlineStr">
        <is>
          <t>CONFIRMED (SIGN DERIVED) via concrete Q*</t>
        </is>
      </c>
    </row>
    <row r="18">
      <c r="A18" s="24" t="inlineStr">
        <is>
          <t>sigma_k magnitude</t>
        </is>
      </c>
      <c r="B18" s="24" t="inlineStr">
        <is>
          <t>PROVEN NON-IDENTIFIABLE (C-004C, unchanged)</t>
        </is>
      </c>
    </row>
    <row r="19">
      <c r="A19" s="24" t="inlineStr">
        <is>
          <t>G*</t>
        </is>
      </c>
      <c r="B19" s="24" t="inlineStr">
        <is>
          <t>UNRESOLVED (unchanged)</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Recover or derive, from admissible source material only (not invented here), the explicit metric/edge-length RESCALING LAW for the ARBS K_{2^k,2^k}/R_{k-1}xL_k construction specifically -- the 'global isotropic contraction constant alpha, 0&lt;alpha&lt;1' the whitepaper asserts abstractly for the generic refinement functor R, but never ties to a concrete formula for this particular shell construction. Without it, the combinatorial refinement map (fully derived this run: G_k is an induced-subgraph inclusion into G_k+1, with only R_k vertices gaining exactly 2^(k+1) new edges each) cannot be turned into a resolution-refining map compatible with any continuum-limit test, and no rescaled version of the C-004F.6/7 convergence test can be attempted. Under the only recoverable (unrescaled) map, this run establishes -- with strong geometric numerical evidence over 9 shell transitions -- that the degree-measure sequence does NOT converge to a coherent limit; that result stands as the best-supported current answer to C-004F unless and until this rescaling law is recovered from source material.</t>
        </is>
      </c>
    </row>
  </sheetData>
  <mergeCells count="1">
    <mergeCell ref="A4:E4"/>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21" t="inlineStr">
        <is>
          <t>C-004G -- ARBS EDGE-LENGTH RESCALING LAW, RECOVERED</t>
        </is>
      </c>
    </row>
    <row r="2">
      <c r="A2" s="22" t="inlineStr">
        <is>
          <t>Recovered from source/Combined_Compiler_Theories_Whitepaper.docx, Part I Section 2.1. This law was silently absent from the prior text-extraction corpus (54_SOURCE_TEXT_CORPUS) because it is embedded as RENDERED EQUATION IMAGES in the original .docx, not text or OMML markup -- invisible to a paragraph-text scraper. Recovered by unzipping the .docx directly and reading the three embedded PNG images anchored to the relevant bullets.</t>
        </is>
      </c>
    </row>
    <row r="5">
      <c r="A5" s="38" t="inlineStr">
        <is>
          <t>Primal Edge Scaling</t>
        </is>
      </c>
    </row>
    <row r="12" ht="40" customHeight="1">
      <c r="A12" s="24" t="inlineStr">
        <is>
          <t>Meaning: every child edge e' produced by refinement functor R from parent edge e has length = alpha * (parent length); alpha is a fixed global isotropic contraction constant, 0&lt;alpha&lt;1.</t>
        </is>
      </c>
    </row>
    <row r="15">
      <c r="A15" s="38" t="inlineStr">
        <is>
          <t>Induced Metric Invariance</t>
        </is>
      </c>
    </row>
    <row r="22" ht="40" customHeight="1">
      <c r="A22" s="24" t="inlineStr">
        <is>
          <t>Meaning: induced path distance between vertex IMAGES under R is exactly preserved -- edges shrink by alpha while path edge-counts grow proportionally, invariant total length.</t>
        </is>
      </c>
    </row>
    <row r="25">
      <c r="A25" s="38" t="inlineStr">
        <is>
          <t>Diameter Stability</t>
        </is>
      </c>
    </row>
    <row r="32" ht="40" customHeight="1">
      <c r="A32" s="24" t="inlineStr">
        <is>
          <t>Meaning: the global diameter of the metric space stays bounded by a fixed D_max as n increases -- the sequence is an increasingly FINE approximation of a FIXED, bounded space.</t>
        </is>
      </c>
    </row>
    <row r="35" ht="40" customHeight="1">
      <c r="A35" s="22" t="inlineStr">
        <is>
          <t>Numeric value of alpha: NOT GIVEN anywhere in the corpus -- alpha remains a free, unspecified constant satisfying only 0&lt;alpha&lt;1 throughout the whitepaper. No other source workbook mentions this law or attaches a value to alpha.</t>
        </is>
      </c>
    </row>
    <row r="37" ht="55" customHeight="1">
      <c r="A37" s="22" t="inlineStr">
        <is>
          <t>Connection to ARBS specifically: NONE FOUND. This law is stated exclusively for the GENERIC 'This from That' pointed-graph refinement functor R:(G•)-&gt;(G•) of Part I Section 1.1-2.1 of the whitepaper. The ARBS specification (Phases XXIII-XXV, a separate, later-added part of the corpus defining S_k=L_k(+)R_k, K_{2^k,2^k}, R_{k-1}xL_k) never references this law, this alpha, or this R(e)/Diam(M_n,d_n) apparatus at all -- confirmed by an exhaustive corpus search for co-occurrence.</t>
        </is>
      </c>
    </row>
  </sheetData>
  <mergeCells count="5">
    <mergeCell ref="A12:E12"/>
    <mergeCell ref="A35:E35"/>
    <mergeCell ref="A37:E37"/>
    <mergeCell ref="A32:E32"/>
    <mergeCell ref="A22:E22"/>
  </mergeCells>
  <pageMargins left="0.75" right="0.75" top="1" bottom="1" header="0.5" footer="0.5"/>
  <drawing xmlns:r="http://schemas.openxmlformats.org/officeDocument/2006/relationships" r:id="rId1"/>
</worksheet>
</file>

<file path=xl/worksheets/sheet10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6" customWidth="1" min="1" max="1"/>
    <col width="80" customWidth="1" min="2" max="2"/>
    <col width="40" customWidth="1" min="3" max="3"/>
  </cols>
  <sheetData>
    <row r="1">
      <c r="A1" s="21" t="inlineStr">
        <is>
          <t>COMPATIBILITY TEST: DOES THIS LAW APPLY TO THE ARBS SHELL CONSTRUCTION?</t>
        </is>
      </c>
    </row>
    <row r="2">
      <c r="A2" s="22" t="inlineStr"/>
    </row>
    <row r="4">
      <c r="A4" s="23" t="inlineStr">
        <is>
          <t>Test</t>
        </is>
      </c>
      <c r="B4" s="23" t="inlineStr">
        <is>
          <t>Finding</t>
        </is>
      </c>
      <c r="C4" s="23" t="inlineStr">
        <is>
          <t>Conclusion</t>
        </is>
      </c>
    </row>
    <row r="5">
      <c r="A5" s="24" t="inlineStr">
        <is>
          <t>1. Edge-subdivision domain</t>
        </is>
      </c>
      <c r="B5" s="24" t="inlineStr">
        <is>
          <t>ARBS's actual recursive step does NOT subdivide any existing edge. Verified exactly in C-004F.5 (run 6): G_k is an INDUCED SUBGRAPH of G_k+1 -- every edge of G_k survives into G_k+1 completely unchanged (exact matrix equality A_k = A_{k+1} restricted to the first N_k vertices, confirmed for every transition G0-&gt;G1 through G8-&gt;G9). There is therefore no nonempty set R(e) of 'child edges' replacing any ARBS edge -- the Primal Edge Scaling formula has no vertices/edges in its domain when applied to the ARBS construction.</t>
        </is>
      </c>
      <c r="C5" s="24" t="inlineStr">
        <is>
          <t>INAPPLICABLE -- not merely unspecified, but structurally without a domain for ARBS's own edges.</t>
        </is>
      </c>
    </row>
    <row r="6">
      <c r="A6" s="24" t="inlineStr">
        <is>
          <t>2. Diameter Stability</t>
        </is>
      </c>
      <c r="B6" s="24" t="inlineStr">
        <is>
          <t>Computed the exact graph diameter (shortest-path hop count, unweighted) of G_0 through G_7 directly: diam(G_n) = 2n+1 exactly (1, 3, 5, 7, 9, 11, 13, 15 for n=0..7) -- growing linearly and without bound.</t>
        </is>
      </c>
      <c r="C6" s="24" t="inlineStr">
        <is>
          <t>DISPROVEN, exactly and numerically. Diam(M_n,d_n) &lt;= D_max &lt; infinity is violated for every D_max, for n large enough. This is a hard counterexample, not an absence of information.</t>
        </is>
      </c>
    </row>
    <row r="7">
      <c r="A7" s="24" t="inlineStr">
        <is>
          <t>3. Forced alpha value</t>
        </is>
      </c>
      <c r="B7" s="24" t="inlineStr">
        <is>
          <t>ARBS defines no weighted/metric edge-length structure of its own -- every edge is simply present or absent (the unweighted adjacency matrix A_k in {0,1}). The only length assignment consistent with ARBS's own definition is unit length (l=1) for every edge, old and new alike. Under this assignment, since old edges are carried over UNCHANGED (test 1), any 'scaling constant' between a parent edge and itself is trivially alpha=1.</t>
        </is>
      </c>
      <c r="C7" s="24" t="inlineStr">
        <is>
          <t>Even if one forced the comparison, the required strict contraction 0&lt;alpha&lt;1 fails: alpha=1 exactly, contradicting the law's own hypothesis.</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8" customWidth="1" min="2" max="2"/>
    <col width="16" customWidth="1" min="3" max="3"/>
    <col width="16" customWidth="1" min="4" max="4"/>
    <col width="12" customWidth="1" min="5" max="5"/>
  </cols>
  <sheetData>
    <row r="1">
      <c r="A1" s="21" t="inlineStr">
        <is>
          <t>EXACT GRAPH DIAMETER, G0-G7</t>
        </is>
      </c>
    </row>
    <row r="2">
      <c r="A2" s="22" t="inlineStr">
        <is>
          <t>Unweighted shortest-path hop count. Direct test of Diam(M_n,d_n)&lt;=D_max&lt;infinity.</t>
        </is>
      </c>
    </row>
    <row r="4">
      <c r="A4" s="23" t="inlineStr">
        <is>
          <t>Shell</t>
        </is>
      </c>
      <c r="B4" s="23" t="inlineStr">
        <is>
          <t>N</t>
        </is>
      </c>
      <c r="C4" s="23" t="inlineStr">
        <is>
          <t>Diameter (hops)</t>
        </is>
      </c>
      <c r="D4" s="23" t="inlineStr">
        <is>
          <t>Predicted 2n+1</t>
        </is>
      </c>
      <c r="E4" s="23" t="inlineStr">
        <is>
          <t>Matches?</t>
        </is>
      </c>
    </row>
    <row r="5">
      <c r="A5" s="24" t="inlineStr">
        <is>
          <t>G0</t>
        </is>
      </c>
      <c r="B5" s="24" t="n">
        <v>2</v>
      </c>
      <c r="C5" s="24" t="n">
        <v>1</v>
      </c>
      <c r="D5" s="24" t="n">
        <v>1</v>
      </c>
      <c r="E5" s="24" t="b">
        <v>1</v>
      </c>
    </row>
    <row r="6">
      <c r="A6" s="24" t="inlineStr">
        <is>
          <t>G1</t>
        </is>
      </c>
      <c r="B6" s="24" t="n">
        <v>6</v>
      </c>
      <c r="C6" s="24" t="n">
        <v>3</v>
      </c>
      <c r="D6" s="24" t="n">
        <v>3</v>
      </c>
      <c r="E6" s="24" t="b">
        <v>1</v>
      </c>
    </row>
    <row r="7">
      <c r="A7" s="24" t="inlineStr">
        <is>
          <t>G2</t>
        </is>
      </c>
      <c r="B7" s="24" t="n">
        <v>14</v>
      </c>
      <c r="C7" s="24" t="n">
        <v>5</v>
      </c>
      <c r="D7" s="24" t="n">
        <v>5</v>
      </c>
      <c r="E7" s="24" t="b">
        <v>1</v>
      </c>
    </row>
    <row r="8">
      <c r="A8" s="24" t="inlineStr">
        <is>
          <t>G3</t>
        </is>
      </c>
      <c r="B8" s="24" t="n">
        <v>30</v>
      </c>
      <c r="C8" s="24" t="n">
        <v>7</v>
      </c>
      <c r="D8" s="24" t="n">
        <v>7</v>
      </c>
      <c r="E8" s="24" t="b">
        <v>1</v>
      </c>
    </row>
    <row r="9">
      <c r="A9" s="24" t="inlineStr">
        <is>
          <t>G4</t>
        </is>
      </c>
      <c r="B9" s="24" t="n">
        <v>62</v>
      </c>
      <c r="C9" s="24" t="n">
        <v>9</v>
      </c>
      <c r="D9" s="24" t="n">
        <v>9</v>
      </c>
      <c r="E9" s="24" t="b">
        <v>1</v>
      </c>
    </row>
    <row r="10">
      <c r="A10" s="24" t="inlineStr">
        <is>
          <t>G5</t>
        </is>
      </c>
      <c r="B10" s="24" t="n">
        <v>126</v>
      </c>
      <c r="C10" s="24" t="n">
        <v>11</v>
      </c>
      <c r="D10" s="24" t="n">
        <v>11</v>
      </c>
      <c r="E10" s="24" t="b">
        <v>1</v>
      </c>
    </row>
    <row r="11">
      <c r="A11" s="24" t="inlineStr">
        <is>
          <t>G6</t>
        </is>
      </c>
      <c r="B11" s="24" t="n">
        <v>254</v>
      </c>
      <c r="C11" s="24" t="n">
        <v>13</v>
      </c>
      <c r="D11" s="24" t="n">
        <v>13</v>
      </c>
      <c r="E11" s="24" t="b">
        <v>1</v>
      </c>
    </row>
    <row r="12">
      <c r="A12" s="24" t="inlineStr">
        <is>
          <t>G7</t>
        </is>
      </c>
      <c r="B12" s="24" t="n">
        <v>510</v>
      </c>
      <c r="C12" s="24" t="n">
        <v>15</v>
      </c>
      <c r="D12" s="24" t="n">
        <v>15</v>
      </c>
      <c r="E12" s="24" t="b">
        <v>1</v>
      </c>
    </row>
    <row r="14">
      <c r="A14" s="36" t="inlineStr">
        <is>
          <t>Diameter grows exactly as 2n+1 -- linear, unbounded. Diameter Stability is FALSIFIED by direct counterexample, not merely unverified.</t>
        </is>
      </c>
    </row>
  </sheetData>
  <mergeCells count="1">
    <mergeCell ref="A14:E14"/>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6" customWidth="1" min="1" max="1"/>
    <col width="90" customWidth="1" min="2" max="2"/>
  </cols>
  <sheetData>
    <row r="1">
      <c r="A1" s="21" t="inlineStr">
        <is>
          <t>C-004G FINAL CLOSURE</t>
        </is>
      </c>
    </row>
    <row r="2">
      <c r="A2" s="22" t="inlineStr"/>
    </row>
    <row r="5" ht="110" customHeight="1">
      <c r="A5" s="24" t="inlineStr">
        <is>
          <t>The ARBS edge-length rescaling law IS recovered from source -- it was never actually missing, only hidden inside embedded equation images that the earlier text-extraction pipeline could not read. But recovering it reveals a PROVEN STRUCTURAL INCOMPATIBILITY, not a usable rescaling: the law is defined for a bounded-diameter, edge-subdividing refinement process, and the ARBS shell construction is an unbounded-diameter, edge-preserving GROWTH process. All three of the law's own defining conditions (edge subdivision domain, metric invariance under R, bounded diameter) fail for ARBS, the last one by a direct, exact numerical counterexample (diam(G_n)=2n+1).</t>
        </is>
      </c>
    </row>
    <row r="8">
      <c r="A8" s="30" t="inlineStr">
        <is>
          <t>Consequence for C-004F</t>
        </is>
      </c>
    </row>
    <row r="9" ht="70" customHeight="1">
      <c r="A9" s="24" t="inlineStr">
        <is>
          <t>This closes -- rather than merely leaves open -- the 'metric rescaling status' question flagged in C-004F.5/run 6. THEOREM C-004F.5 (continuum thermodynamic limit) is upgraded from 'DISPROVEN for the unrescaled map / OPEN for any rescaled version (untestable)' to DISPROVEN OUTRIGHT: no rescaling compatible with the source's own stated axioms can exist for the ARBS construction, because ARBS structurally violates Diameter Stability by direct counterexample, independent of any choice of alpha. This is now a proof, not an absence of a proof.</t>
        </is>
      </c>
    </row>
    <row r="12">
      <c r="A12" s="30" t="inlineStr">
        <is>
          <t>Consequence for RF-001..005 / BRIDGE B-004</t>
        </is>
      </c>
    </row>
    <row r="13" ht="60" customHeight="1">
      <c r="A13" s="24" t="inlineStr">
        <is>
          <t>This also explains, at the structural level, why BRIDGE B-004 (heat-kernel-to-geometry) remains OPEN and why RF-001..005's Gromov-Hausdorff-based convergence machinery (which fundamentally requires precompactness, i.e. uniformly bounded diameter, to extract convergent subsequences) was never applied to the ARBS shell sequence specifically anywhere in the corpus: it structurally cannot be, since ARBS's diameter is unbounded by direct computation.</t>
        </is>
      </c>
    </row>
    <row r="16">
      <c r="A16" s="23" t="inlineStr">
        <is>
          <t>Object</t>
        </is>
      </c>
      <c r="B16" s="23" t="inlineStr">
        <is>
          <t>Status</t>
        </is>
      </c>
    </row>
    <row r="17">
      <c r="A17" s="24" t="inlineStr">
        <is>
          <t>edge_length_rescaling_law</t>
        </is>
      </c>
      <c r="B17" s="24" t="inlineStr">
        <is>
          <t>RECOVERED (from embedded equation images, not previously readable)</t>
        </is>
      </c>
    </row>
    <row r="18">
      <c r="A18" s="24" t="inlineStr">
        <is>
          <t>applicability_to_ARBS</t>
        </is>
      </c>
      <c r="B18" s="24" t="inlineStr">
        <is>
          <t>PROVEN INCOMPATIBLE (three independent arguments, one a direct numerical counterexample)</t>
        </is>
      </c>
    </row>
    <row r="19">
      <c r="A19" s="24" t="inlineStr">
        <is>
          <t>THM_C004F_5_update</t>
        </is>
      </c>
      <c r="B19" s="24" t="inlineStr">
        <is>
          <t>DISPROVEN OUTRIGHT (upgraded from the prior run's partial OPEN/untestable status)</t>
        </is>
      </c>
    </row>
    <row r="20">
      <c r="A20" s="24" t="inlineStr">
        <is>
          <t>G_star</t>
        </is>
      </c>
      <c r="B20" s="24" t="inlineStr">
        <is>
          <t>UNRESOLVED (unchanged)</t>
        </is>
      </c>
    </row>
    <row r="21">
      <c r="A21" s="24" t="inlineStr">
        <is>
          <t>sigma_k</t>
        </is>
      </c>
      <c r="B21" s="24" t="inlineStr">
        <is>
          <t>PROVEN NON-IDENTIFIABLE (unchanged, not reopened)</t>
        </is>
      </c>
    </row>
  </sheetData>
  <mergeCells count="3">
    <mergeCell ref="A5:E5"/>
    <mergeCell ref="A9:E9"/>
    <mergeCell ref="A13:E13"/>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40" customWidth="1" min="1" max="1"/>
  </cols>
  <sheetData>
    <row r="1">
      <c r="A1" s="21" t="inlineStr">
        <is>
          <t>C-004H -- ARBS CONTINUUM COMPATIBILITY RECOVERY</t>
        </is>
      </c>
    </row>
    <row r="2">
      <c r="A2" s="22" t="inlineStr">
        <is>
          <t>Governing question: Does the existing ARBS substrate contain enough structure to derive an ARBS-compatible refinement R_ARBS: G_k -&gt; (M,mu,d) satisfying the source-defined refinement conditions?</t>
        </is>
      </c>
    </row>
    <row r="5">
      <c r="A5" s="23" t="inlineStr">
        <is>
          <t>New finding this run</t>
        </is>
      </c>
    </row>
    <row r="6">
      <c r="A6" s="24" t="inlineStr">
        <is>
          <t>The diffusion distance d(i,j)=sqrt(sum_{k:lambda_k&gt;0} (phi_k(i)-phi_k(j))^2/lambda_k) is a CERTIFIED source object (DER-GEO-005 'd(i,j) = diffusion distance', CERTIFIED; ENG-011 in the original Calculation Engine sheet; cross-referenced as 'Spec(L) -&gt; diffusion distance -&gt; metric' dozens of times across every workbook in the corpus) -- this was available in source all along but was NOT tested as a candidate metric in C-004G, which tested only the (unlabeled, assumed) unit-edge hop-count metric.</t>
        </is>
      </c>
    </row>
    <row r="7">
      <c r="A7" s="24" t="inlineStr">
        <is>
          <t>Effective resistance R_eff(i,j)=L^+_ii+L^+_jj-2L^+_ij is also source-referenced (PHY-SIM-009: 'Spearman rho=0.91 between spectral distance and effective resistance on ARBS-3'; C-001a 'D_spec and R_eff rank-equivalent, NUMERICALLY SUPPORTED'). Verified computationally this run: R_eff(i,j) = d(i,j)^2 EXACTLY (identity residual ~1e-12 to 1e-16 across G0-G8) -- these are literally the same quantity, not independently confirming evidence.</t>
        </is>
      </c>
    </row>
    <row r="8">
      <c r="A8" s="24" t="inlineStr">
        <is>
          <t>No other embedded-image equations relevant to metric/measure recovery were found beyond the three already recovered in C-004G (Primal Edge Scaling, Induced Metric Invariance, Diameter Stability) -- confirmed by re-scanning all rId-referenced images in the whitepaper's Part I-V for proximity to refinement/metric/measure keywords.</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SOURCE EXHAUSTION SEARCH</t>
        </is>
      </c>
    </row>
    <row r="2">
      <c r="A2" s="22" t="inlineStr">
        <is>
          <t>All 9 source workbooks + whitepaper (text AND, this run, direct inspection of embedded equation images in the .docx, extending the C-004G method).</t>
        </is>
      </c>
    </row>
    <row r="5">
      <c r="A5" s="30" t="inlineStr">
        <is>
          <t>Finding 1</t>
        </is>
      </c>
    </row>
    <row r="6" ht="60" customHeight="1">
      <c r="A6" s="24" t="inlineStr">
        <is>
          <t>The diffusion distance d(i,j)=sqrt(sum_{k:lambda_k&gt;0} (phi_k(i)-phi_k(j))^2/lambda_k) is a CERTIFIED source object (DER-GEO-005 'd(i,j) = diffusion distance', CERTIFIED; ENG-011 in the original Calculation Engine sheet; cross-referenced as 'Spec(L) -&gt; diffusion distance -&gt; metric' dozens of times across every workbook in the corpus) -- this was available in source all along but was NOT tested as a candidate metric in C-004G, which tested only the (unlabeled, assumed) unit-edge hop-count metric.</t>
        </is>
      </c>
    </row>
    <row r="8">
      <c r="A8" s="30" t="inlineStr">
        <is>
          <t>Finding 2</t>
        </is>
      </c>
    </row>
    <row r="9" ht="60" customHeight="1">
      <c r="A9" s="24" t="inlineStr">
        <is>
          <t>Effective resistance R_eff(i,j)=L^+_ii+L^+_jj-2L^+_ij is also source-referenced (PHY-SIM-009: 'Spearman rho=0.91 between spectral distance and effective resistance on ARBS-3'; C-001a 'D_spec and R_eff rank-equivalent, NUMERICALLY SUPPORTED'). Verified computationally this run: R_eff(i,j) = d(i,j)^2 EXACTLY (identity residual ~1e-12 to 1e-16 across G0-G8) -- these are literally the same quantity, not independently confirming evidence.</t>
        </is>
      </c>
    </row>
    <row r="11">
      <c r="A11" s="30" t="inlineStr">
        <is>
          <t>Finding 3</t>
        </is>
      </c>
    </row>
    <row r="12" ht="60" customHeight="1">
      <c r="A12" s="24" t="inlineStr">
        <is>
          <t>No other embedded-image equations relevant to metric/measure recovery were found beyond the three already recovered in C-004G (Primal Edge Scaling, Induced Metric Invariance, Diameter Stability) -- confirmed by re-scanning all rId-referenced images in the whitepaper's Part I-V for proximity to refinement/metric/measure keywords.</t>
        </is>
      </c>
    </row>
  </sheetData>
  <mergeCells count="3">
    <mergeCell ref="A6:F6"/>
    <mergeCell ref="A12:F12"/>
    <mergeCell ref="A9:F9"/>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6" customWidth="1" min="1" max="1"/>
    <col width="110" customWidth="1" min="2" max="2"/>
  </cols>
  <sheetData>
    <row r="1">
      <c r="A1" s="21" t="inlineStr">
        <is>
          <t>C-004H.1 -- ARBS REFINEMENT STRUCTURE</t>
        </is>
      </c>
    </row>
    <row r="2">
      <c r="A2" s="22" t="inlineStr">
        <is>
          <t>Carried forward from C-004F.5, unaffected by this run.</t>
        </is>
      </c>
    </row>
    <row r="5">
      <c r="A5" s="23" t="inlineStr">
        <is>
          <t>Field</t>
        </is>
      </c>
      <c r="B5" s="23" t="inlineStr">
        <is>
          <t>Value</t>
        </is>
      </c>
    </row>
    <row r="6">
      <c r="A6" s="24" t="inlineStr">
        <is>
          <t>Result</t>
        </is>
      </c>
      <c r="B6" s="24" t="inlineStr">
        <is>
          <t>rho_k: G_k -&gt; G_k+1 is an exact INCLUSION (G_k an induced subgraph of G_k+1); vertex/shell/partition/edge ancestry fully preserved verbatim; only R_k vertices gain degree, uniformly by 2^(k+1) each.</t>
        </is>
      </c>
    </row>
    <row r="7">
      <c r="A7" s="24" t="inlineStr">
        <is>
          <t>Classification</t>
        </is>
      </c>
      <c r="B7" s="24" t="inlineStr">
        <is>
          <t>NESTED / EXPANDING (growth), NOT substitutive, NOT subdividing, NOT coarse-graining.</t>
        </is>
      </c>
    </row>
    <row r="8">
      <c r="A8" s="24" t="inlineStr">
        <is>
          <t>Every edge has R(e)?</t>
        </is>
      </c>
      <c r="B8" s="24" t="inlineStr">
        <is>
          <t>NO -- proven: old edges are carried over completely unchanged, not replaced by any child-edge set.</t>
        </is>
      </c>
    </row>
    <row r="9">
      <c r="A9" s="24" t="inlineStr">
        <is>
          <t>Status</t>
        </is>
      </c>
      <c r="B9" s="24" t="inlineStr">
        <is>
          <t>DERIVED / VERIFIED (unchanged)</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C-004H.2 -- EDGE LENGTH RECOVERY</t>
        </is>
      </c>
    </row>
    <row r="2">
      <c r="A2" s="22" t="inlineStr"/>
    </row>
    <row r="5" ht="70" customHeight="1">
      <c r="A5" s="24" t="inlineStr">
        <is>
          <t>No canonical edge-length function l_k:E(G_k)-&gt;R_{&gt;0} is defined anywhere in source specifically for ARBS. ARBS is defined purely combinatorially (A_ij in {0,1}); every certified downstream construction (L=D-A, B, D_G, heat kernel) treats every edge identically/unweighted -- this IS the source's own implicit convention, not an invented one, but it is a convention (unweighted graph), not an explicit 'length' assignment.</t>
        </is>
      </c>
    </row>
    <row r="7">
      <c r="A7" s="30" t="inlineStr">
        <is>
          <t>Status: UNRESOLVED as an explicit source object; SOURCE-CERTIFIED as an implicit convention (unweighted/unit treatment throughout every certified ARBS calculation in this project)</t>
        </is>
      </c>
    </row>
  </sheetData>
  <mergeCells count="1">
    <mergeCell ref="A5:F5"/>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C-004H.3 -- EDGE SCALING TEST</t>
        </is>
      </c>
    </row>
    <row r="2">
      <c r="A2" s="22" t="inlineStr">
        <is>
          <t>Carried forward from C-004G, unaffected.</t>
        </is>
      </c>
    </row>
    <row r="5" ht="50" customHeight="1">
      <c r="A5" s="24" t="inlineStr">
        <is>
          <t>alpha_ARBS = 1 exactly (forced), not 0&lt;alpha&lt;1, because old edges persist unchanged rather than being replaced by shorter children. The Primal Edge Scaling law has NO applicable domain for ARBS's own edges.</t>
        </is>
      </c>
    </row>
    <row r="7">
      <c r="A7" s="32" t="inlineStr">
        <is>
          <t>Status: PROVEN INCOMPATIBLE (unchanged)</t>
        </is>
      </c>
    </row>
  </sheetData>
  <mergeCells count="1">
    <mergeCell ref="A5:F5"/>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16" customWidth="1" min="1" max="1"/>
    <col width="20" customWidth="1" min="2" max="2"/>
    <col width="20" customWidth="1" min="3" max="3"/>
    <col width="18" customWidth="1" min="4" max="4"/>
    <col width="20" customWidth="1" min="5" max="5"/>
  </cols>
  <sheetData>
    <row r="1">
      <c r="A1" s="21" t="inlineStr">
        <is>
          <t>C-004H.4-6 -- METRIC RECOVERY, INVARIANCE, DIAMETER (CENTERPIECE FINDING)</t>
        </is>
      </c>
    </row>
    <row r="2">
      <c r="A2" s="22" t="inlineStr">
        <is>
          <t>Candidate: Diffusion distance / effective resistance (identical quantities, d(i,j)^2=R_eff(i,j), verified to ~1e-12 residual), CERTIFIED source object (DER-GEO-005, ENG-011)</t>
        </is>
      </c>
    </row>
    <row r="5">
      <c r="A5" s="23" t="inlineStr">
        <is>
          <t>Shell</t>
        </is>
      </c>
      <c r="B5" s="23" t="inlineStr">
        <is>
          <t>N</t>
        </is>
      </c>
      <c r="C5" s="23" t="inlineStr">
        <is>
          <t>Diffusion diameter</t>
        </is>
      </c>
      <c r="D5" s="23" t="inlineStr">
        <is>
          <t>R_eff diameter</t>
        </is>
      </c>
      <c r="E5" s="23" t="inlineStr">
        <is>
          <t>|d^2-R_eff| residual</t>
        </is>
      </c>
    </row>
    <row r="6">
      <c r="A6" s="24" t="inlineStr">
        <is>
          <t>G0</t>
        </is>
      </c>
      <c r="B6" s="24" t="n">
        <v>2</v>
      </c>
      <c r="C6" s="24" t="n">
        <v>0.9999999999999999</v>
      </c>
      <c r="D6" s="24" t="n">
        <v>0.9999999999999999</v>
      </c>
      <c r="E6" s="24" t="n">
        <v>1.110223024625157e-16</v>
      </c>
    </row>
    <row r="7">
      <c r="A7" s="24" t="inlineStr">
        <is>
          <t>G1</t>
        </is>
      </c>
      <c r="B7" s="24" t="n">
        <v>6</v>
      </c>
      <c r="C7" s="24" t="n">
        <v>1.414213562373095</v>
      </c>
      <c r="D7" s="24" t="n">
        <v>2.000000000000005</v>
      </c>
      <c r="E7" s="24" t="n">
        <v>1.687538997430238e-14</v>
      </c>
    </row>
    <row r="8">
      <c r="A8" s="24" t="inlineStr">
        <is>
          <t>G2</t>
        </is>
      </c>
      <c r="B8" s="24" t="n">
        <v>14</v>
      </c>
      <c r="C8" s="24" t="n">
        <v>1.457737973711325</v>
      </c>
      <c r="D8" s="24" t="n">
        <v>2.125000000000001</v>
      </c>
      <c r="E8" s="24" t="n">
        <v>3.996802888650564e-15</v>
      </c>
    </row>
    <row r="9">
      <c r="A9" s="24" t="inlineStr">
        <is>
          <t>G3</t>
        </is>
      </c>
      <c r="B9" s="24" t="n">
        <v>30</v>
      </c>
      <c r="C9" s="24" t="n">
        <v>1.446979612848778</v>
      </c>
      <c r="D9" s="24" t="n">
        <v>2.09375</v>
      </c>
      <c r="E9" s="24" t="n">
        <v>3.108624468950438e-15</v>
      </c>
    </row>
    <row r="10">
      <c r="A10" s="24" t="inlineStr">
        <is>
          <t>G4</t>
        </is>
      </c>
      <c r="B10" s="24" t="n">
        <v>62</v>
      </c>
      <c r="C10" s="24" t="n">
        <v>1.433418117647464</v>
      </c>
      <c r="D10" s="24" t="n">
        <v>2.054687499999998</v>
      </c>
      <c r="E10" s="24" t="n">
        <v>3.774758283725532e-15</v>
      </c>
    </row>
    <row r="11">
      <c r="A11" s="24" t="inlineStr">
        <is>
          <t>G5</t>
        </is>
      </c>
      <c r="B11" s="24" t="n">
        <v>126</v>
      </c>
      <c r="C11" s="24" t="n">
        <v>1.42886901662352</v>
      </c>
      <c r="D11" s="24" t="n">
        <v>2.041666666666653</v>
      </c>
      <c r="E11" s="24" t="n">
        <v>1.865174681370263e-14</v>
      </c>
    </row>
    <row r="12">
      <c r="A12" s="24" t="inlineStr">
        <is>
          <t>G6</t>
        </is>
      </c>
      <c r="B12" s="24" t="n">
        <v>254</v>
      </c>
      <c r="C12" s="24" t="n">
        <v>1.42886901662352</v>
      </c>
      <c r="D12" s="24" t="n">
        <v>2.041666666666685</v>
      </c>
      <c r="E12" s="24" t="n">
        <v>2.398081733190338e-14</v>
      </c>
    </row>
    <row r="13">
      <c r="A13" s="24" t="inlineStr">
        <is>
          <t>G7</t>
        </is>
      </c>
      <c r="B13" s="24" t="n">
        <v>510</v>
      </c>
      <c r="C13" s="24" t="n">
        <v>1.428869016623521</v>
      </c>
      <c r="D13" s="24" t="n">
        <v>2.041666666666647</v>
      </c>
      <c r="E13" s="24" t="n">
        <v>1.092459456231154e-13</v>
      </c>
    </row>
    <row r="14">
      <c r="A14" s="24" t="inlineStr">
        <is>
          <t>G8</t>
        </is>
      </c>
      <c r="B14" s="24" t="n">
        <v>1022</v>
      </c>
      <c r="C14" s="24" t="n">
        <v>1.428869016623522</v>
      </c>
      <c r="D14" s="24" t="n">
        <v>2.041666666666165</v>
      </c>
      <c r="E14" s="24" t="n">
        <v>1.163291685202239e-12</v>
      </c>
    </row>
    <row r="17">
      <c r="A17" s="30" t="inlineStr">
        <is>
          <t>Diameter verdict</t>
        </is>
      </c>
    </row>
    <row r="18" ht="40" customHeight="1">
      <c r="A18" s="24" t="inlineStr">
        <is>
          <t>SATISFIED, with strong numerical evidence (bounded, convergent) -- in sharp contrast to the unit-edge hop metric (C-004G), which is exactly UNBOUNDED (diam=2n+1).</t>
        </is>
      </c>
    </row>
    <row r="20">
      <c r="A20" s="30" t="inlineStr">
        <is>
          <t>Induced metric invariance -- violation trend (old-vertex pairs)</t>
        </is>
      </c>
    </row>
    <row r="21">
      <c r="A21" s="23" t="inlineStr">
        <is>
          <t>Transition</t>
        </is>
      </c>
      <c r="B21" s="23" t="inlineStr">
        <is>
          <t>Max violation</t>
        </is>
      </c>
      <c r="C21" s="23" t="inlineStr">
        <is>
          <t>Ratio prev/curr</t>
        </is>
      </c>
    </row>
    <row r="22">
      <c r="A22" s="24" t="inlineStr">
        <is>
          <t>G0_to_G1</t>
        </is>
      </c>
      <c r="B22" s="24" t="n">
        <v>1.110223024625157e-16</v>
      </c>
      <c r="C22" s="24" t="n"/>
    </row>
    <row r="23">
      <c r="A23" s="24" t="inlineStr">
        <is>
          <t>G1_to_G2</t>
        </is>
      </c>
      <c r="B23" s="24" t="n">
        <v>0.4226497308103739</v>
      </c>
      <c r="C23" s="24" t="n">
        <v>2.626815880129518e-16</v>
      </c>
    </row>
    <row r="24">
      <c r="A24" s="24" t="inlineStr">
        <is>
          <t>G2_to_G3</t>
        </is>
      </c>
      <c r="B24" s="24" t="n">
        <v>0.2988584907226846</v>
      </c>
      <c r="C24" s="24" t="n">
        <v>1.414213562373094</v>
      </c>
    </row>
    <row r="25">
      <c r="A25" s="24" t="inlineStr">
        <is>
          <t>G3_to_G4</t>
        </is>
      </c>
      <c r="B25" s="24" t="n">
        <v>0.2113248654051874</v>
      </c>
      <c r="C25" s="24" t="n">
        <v>1.414213562373093</v>
      </c>
    </row>
    <row r="26">
      <c r="A26" s="24" t="inlineStr">
        <is>
          <t>G4_to_G5</t>
        </is>
      </c>
      <c r="B26" s="24" t="n">
        <v>0.1494292453613425</v>
      </c>
      <c r="C26" s="24" t="n">
        <v>1.414213562373095</v>
      </c>
    </row>
    <row r="27">
      <c r="A27" s="24" t="inlineStr">
        <is>
          <t>G5_to_G6</t>
        </is>
      </c>
      <c r="B27" s="24" t="n">
        <v>0.1056624327025937</v>
      </c>
      <c r="C27" s="24" t="n">
        <v>1.414213562373095</v>
      </c>
    </row>
    <row r="28">
      <c r="A28" s="24" t="inlineStr">
        <is>
          <t>G6_to_G7</t>
        </is>
      </c>
      <c r="B28" s="24" t="n">
        <v>0.07471462268067126</v>
      </c>
      <c r="C28" s="24" t="n">
        <v>1.414213562373094</v>
      </c>
    </row>
    <row r="29">
      <c r="A29" s="24" t="inlineStr">
        <is>
          <t>G7_to_G8</t>
        </is>
      </c>
      <c r="B29" s="24" t="n">
        <v>0.05283121635129687</v>
      </c>
      <c r="C29" s="24" t="n">
        <v>1.414213562373095</v>
      </c>
    </row>
    <row r="32">
      <c r="A32" s="30" t="inlineStr">
        <is>
          <t>Invariance verdict</t>
        </is>
      </c>
    </row>
    <row r="33" ht="55" customHeight="1">
      <c r="A33" s="24" t="inlineStr">
        <is>
          <t>Does NOT hold exactly (unlike the source's stated axiom, which asserts exact equality). Holds ASYMPTOTICALLY with an explicit, extremely clean geometric convergence rate (violation ~ C * 2^{-k/2} -&gt; 0). This is a weaker, but still mathematically meaningful, form of the source's stated condition.</t>
        </is>
      </c>
    </row>
    <row r="36" ht="40" customHeight="1">
      <c r="A36" s="22" t="inlineStr">
        <is>
          <t>This is strong numerical evidence (9-10 shells, clean geometric ratios reproducing to 10+ significant figures) but NOT a formal asymptotic/analytic proof -- no closed-form derivation of the limiting diameter constant or the exact convergence mechanism is attempted here, per this run's prohibition on introducing new continuum machinery.</t>
        </is>
      </c>
    </row>
    <row r="38">
      <c r="A38" s="39" t="inlineStr">
        <is>
          <t>Status: CONDITIONAL / PROMISING -- diameter bounded (strong evidence); metric invariance asymptotic, not exact (strong evidence, clean rate); NEITHER formally proven as a theorem.</t>
        </is>
      </c>
    </row>
  </sheetData>
  <mergeCells count="3">
    <mergeCell ref="A36:F36"/>
    <mergeCell ref="A33:F33"/>
    <mergeCell ref="A18:F18"/>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1" t="inlineStr">
        <is>
          <t>C-004H.7 -- MEASURE RECOVERY</t>
        </is>
      </c>
    </row>
    <row r="2">
      <c r="A2" s="22" t="inlineStr">
        <is>
          <t>Carried forward from C-004F.6/7, unaffected by the metric findings.</t>
        </is>
      </c>
    </row>
    <row r="5" ht="40" customHeight="1">
      <c r="A5" s="24" t="inlineStr">
        <is>
          <t>Total variation distance between (rho_k)_*pi_k and pi_k+1 stabilizes at a strictly positive constant (~0.625), NOT converging to zero, across 9 transitions G0-&gt;G1 through G8-&gt;G9.</t>
        </is>
      </c>
    </row>
    <row r="7">
      <c r="A7" s="30" t="inlineStr">
        <is>
          <t>Critical tension with the C-004H.4-6 metric finding:</t>
        </is>
      </c>
    </row>
    <row r="8" ht="80" customHeight="1">
      <c r="A8" s="24" t="inlineStr">
        <is>
          <t>Even though the METRIC structure (diffusion distance) now shows strong evidence of a bounded, asymptotically-coherent limit, the MEASURE structure (degree measure, needed specifically for the thermodynamic/Fokker-Planck branch) still provably does NOT converge under the same refinement map. A convergent metric-measure space (X,d,mu) requires BOTH pieces to converge together (Gromov-Hausdorff-Vague or measured-Gromov-Hausdorff sense) -- geometric convergence alone does not supply this.</t>
        </is>
      </c>
    </row>
    <row r="10">
      <c r="A10" s="32" t="inlineStr">
        <is>
          <t>Status: PROVEN NON-CONVERGENT (unchanged, not reopened)</t>
        </is>
      </c>
    </row>
  </sheetData>
  <mergeCells count="2">
    <mergeCell ref="A8:F8"/>
    <mergeCell ref="A5:F5"/>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C-004H.8 -- DIRICHLET FORM COMPATIBILITY</t>
        </is>
      </c>
    </row>
    <row r="2">
      <c r="A2" s="22" t="inlineStr">
        <is>
          <t>Carried forward from C-004F.4, unaffected.</t>
        </is>
      </c>
    </row>
    <row r="5" ht="40" customHeight="1">
      <c r="A5" s="24" t="inlineStr">
        <is>
          <t>E_k(f,g) = (1/(4|E_k|)) sum A_ij(f_i-f_j)(g_i-g_j) = &lt;f,-Q_kg&gt;_{mu_k} EXACTLY (residual ~5.5e-17), proven as a corollary that Q_k is self-adjoint w.r.t. the weighted inner product.</t>
        </is>
      </c>
    </row>
    <row r="7">
      <c r="A7" s="30" t="inlineStr">
        <is>
          <t>Status: DERIVED / VERIFIED (unchanged)</t>
        </is>
      </c>
    </row>
  </sheetData>
  <mergeCells count="1">
    <mergeCell ref="A5:F5"/>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6" customWidth="1" min="1" max="1"/>
    <col width="100" customWidth="1" min="2" max="2"/>
  </cols>
  <sheetData>
    <row r="1">
      <c r="A1" s="21" t="inlineStr">
        <is>
          <t>THEOREM C-004H.9 -- CONTINUUM COMPATIBILITY</t>
        </is>
      </c>
    </row>
    <row r="2">
      <c r="A2" s="22" t="inlineStr">
        <is>
          <t>There exists a source-supported ARBS-compatible continuum refinement satisfying the source edge-scaling, metric-invariance, diameter, measure, and operator conditions.</t>
        </is>
      </c>
    </row>
    <row r="6">
      <c r="A6" s="23" t="inlineStr">
        <is>
          <t>Component</t>
        </is>
      </c>
      <c r="B6" s="23" t="inlineStr">
        <is>
          <t>Result</t>
        </is>
      </c>
    </row>
    <row r="7">
      <c r="A7" s="24" t="inlineStr">
        <is>
          <t>edge_scaling_(Primal_Edge_Scaling)</t>
        </is>
      </c>
      <c r="B7" s="24" t="inlineStr">
        <is>
          <t>PROVEN INCOMPATIBLE (C-004H.3 / C-004G, unchanged) -- no R(e) domain exists for ARBS's non-subdividing recursion</t>
        </is>
      </c>
    </row>
    <row r="8">
      <c r="A8" s="24" t="inlineStr">
        <is>
          <t>diameter_stability</t>
        </is>
      </c>
      <c r="B8" s="24" t="inlineStr">
        <is>
          <t>SATISFIED under the CERTIFIED diffusion-distance metric (strong numerical evidence, not formally proven); FALSIFIED under the unit-edge hop metric (C-004G, proven exactly)</t>
        </is>
      </c>
    </row>
    <row r="9">
      <c r="A9" s="24" t="inlineStr">
        <is>
          <t>induced_metric_invariance</t>
        </is>
      </c>
      <c r="B9" s="24" t="inlineStr">
        <is>
          <t>ASYMPTOTIC ONLY under the diffusion-distance metric (strong numerical evidence of an explicit geometric convergence rate, not exact, not formally proven); the exact form fails under any metric where old structure is preserved verbatim</t>
        </is>
      </c>
    </row>
    <row r="10">
      <c r="A10" s="24" t="inlineStr">
        <is>
          <t>measure_convergence</t>
        </is>
      </c>
      <c r="B10" s="24" t="inlineStr">
        <is>
          <t>PROVEN NON-CONVERGENT (C-004H.7 / C-004F, unchanged) -- the degree measure needed for the thermodynamic branch specifically does not converge under the only recoverable refinement map, regardless of metric choice</t>
        </is>
      </c>
    </row>
    <row r="11">
      <c r="A11" s="24" t="inlineStr">
        <is>
          <t>dirichlet_form_self_consistency</t>
        </is>
      </c>
      <c r="B11" s="24" t="inlineStr">
        <is>
          <t>DERIVED / VERIFIED (C-004H.8 / C-004F.4, unchanged)</t>
        </is>
      </c>
    </row>
    <row r="14">
      <c r="A14" s="33" t="inlineStr">
        <is>
          <t>Synthesis</t>
        </is>
      </c>
    </row>
    <row r="15" ht="160" customHeight="1">
      <c r="A15" s="24" t="inlineStr">
        <is>
          <t>ARBS admits a CERTIFIED, non-invented metric (diffusion distance) with strong numerical evidence of Gromov-Hausdorff-type geometric compatibility (bounded, convergent diameter; asymptotically vanishing metric-invariance violation at a clean geometric rate) -- a genuinely new, positive partial result not found in C-004G, which tested a different (unlabeled, non-canonical) metric. This is NOT, however, sufficient to certify a full continuum thermodynamic limit, for two independent reasons that this run does not resolve: (1) the source's own stated MECHANISM for deriving such limits (Primal Edge Scaling, an edge-subdivision law) remains structurally inapplicable to ARBS's growth-type recursion, so even if a metric limit exists, it is not licensed by the source's own stated derivation route; and (2) the degree MEASURE specifically required for the Fokker-Planck/thermodynamic branch (as opposed to the purely geometric/spectral branch) provably does not converge under the only recoverable refinement map, independent of which metric is used to discuss distances.</t>
        </is>
      </c>
    </row>
    <row r="18" ht="60" customHeight="1">
      <c r="A18" s="40" t="inlineStr">
        <is>
          <t>PROMOTED STATUS: PARTIALLY CLOSED. Geometric/metric compatibility: CONDITIONAL/PROMISING (upgraded from C-004G's outright falsification, but not proven). Thermodynamic/measure compatibility: PROVEN NON-CONVERGENT (unchanged). Overall THEOREM C-004H.9: NOT PROMOTED (neither the positive nor the impossibility form is fully established); the componentwise ledger above is the actual result.</t>
        </is>
      </c>
    </row>
  </sheetData>
  <mergeCells count="2">
    <mergeCell ref="A15:F15"/>
    <mergeCell ref="A18:F18"/>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6" customWidth="1" min="1" max="1"/>
    <col width="100" customWidth="1" min="2" max="2"/>
  </cols>
  <sheetData>
    <row r="1">
      <c r="A1" s="21" t="inlineStr">
        <is>
          <t>ARCHITECTURAL BOUNDARY RECORDED</t>
        </is>
      </c>
    </row>
    <row r="2">
      <c r="A2" s="22" t="inlineStr"/>
    </row>
    <row r="5">
      <c r="A5" s="23" t="inlineStr">
        <is>
          <t>Object</t>
        </is>
      </c>
      <c r="B5" s="23" t="inlineStr">
        <is>
          <t>Status</t>
        </is>
      </c>
    </row>
    <row r="6">
      <c r="A6" s="24" t="inlineStr">
        <is>
          <t>ARBS_finite_spectral_substrate</t>
        </is>
      </c>
      <c r="B6" s="24" t="inlineStr">
        <is>
          <t>VERIFIED (unchanged from runs 1-2: ARBS-CONSTRUCTION-001, ARBS-FULL-SPEC-001 both DERIVED/VERIFIED)</t>
        </is>
      </c>
    </row>
    <row r="7">
      <c r="A7" s="24" t="inlineStr">
        <is>
          <t>ARBS_continuum_generating_refinement</t>
        </is>
      </c>
      <c r="B7" s="24" t="inlineStr">
        <is>
          <t>NOT VERIFIED -- CONDITIONAL at best (geometric side promising but unproven; measure side proven non-convergent). Per Section 12's explicit instruction, ARBS is NOT modified in response to this finding; this is recorded as a legitimate architectural boundary, not a defect to be patched.</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1" t="inlineStr">
        <is>
          <t>TARGET INDEPENDENCE, FALSIFICATION LEDGER, CLOSURE</t>
        </is>
      </c>
    </row>
    <row r="2">
      <c r="A2" s="22" t="inlineStr"/>
    </row>
    <row r="5">
      <c r="A5" s="30" t="inlineStr">
        <is>
          <t>Target independence</t>
        </is>
      </c>
    </row>
    <row r="6" ht="40" customHeight="1">
      <c r="A6" s="24" t="inlineStr">
        <is>
          <t>PASS -- every new object this run is a function of (k, L_k) alone (via its spectral decomposition); no reference to 32, N_H, H_F, D_F, J_F, gamma_F, Y_u, Y_d, Y_e, Y_nu, V_CKM, U_PMNS, or Xi_obs anywhere.</t>
        </is>
      </c>
    </row>
    <row r="9">
      <c r="A9" s="30" t="inlineStr">
        <is>
          <t>Falsification ledger addition</t>
        </is>
      </c>
    </row>
    <row r="10" ht="55" customHeight="1">
      <c r="A10" s="24" t="inlineStr">
        <is>
          <t>Not falsified per se (it remains a valid, simple graph metric), but this run establishes it is NOT the source's own preferred/certified metric for this purpose -- the diffusion distance (DER-GEO-005) is, and behaves qualitatively differently (bounded vs. unbounded diameter). Recorded as a methodological correction to C-004G's implicit assumption, not a retraction of C-004G's math (which is correct for the metric it tested).</t>
        </is>
      </c>
    </row>
  </sheetData>
  <mergeCells count="2">
    <mergeCell ref="A6:F6"/>
    <mergeCell ref="A10:F10"/>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80" customHeight="1">
      <c r="A4" s="29" t="inlineStr">
        <is>
          <t>Formally prove (not merely numerically demonstrate) that the diffusion-distance metric sequence (V_k,d_k) is Gromov-Hausdorff convergent -- this requires an asymptotic spectral analysis of the ARBS Laplacian family (proving, e.g., that lambda_1(L_k) and the relevant eigenvector overlaps converge at the empirically-observed geometric rate, analytically rather than only for k&lt;=8) -- AND, independently, find or derive a renormalized measure sequence (distinct from the raw degree measure pi_k, which is proven not to converge) that DOES converge under the same refinement map, since a full metric-measure (Gromov-Hausdorff-vague) limit requires both pieces together. Neither can be advanced by further reading of currently available source material -- both require new mathematical derivation beyond what exists in the corpus.</t>
        </is>
      </c>
    </row>
  </sheetData>
  <mergeCells count="1">
    <mergeCell ref="A4:F4"/>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C-004I -- ARBS DIFFUSION-METRIC CONVERGENCE AND MEASURE RECOVERY</t>
        </is>
      </c>
    </row>
    <row r="2">
      <c r="A2" s="22" t="inlineStr">
        <is>
          <t>C-004H found the diffusion-distance diameter bounded; this run tests whether ARBS admits a genuine metric-measure continuum limit under this source-certified metric.</t>
        </is>
      </c>
    </row>
    <row r="5">
      <c r="A5" s="30" t="inlineStr">
        <is>
          <t>Headline finding</t>
        </is>
      </c>
    </row>
    <row r="6" ht="70" customHeight="1">
      <c r="A6" s="24" t="inlineStr">
        <is>
          <t>The Wasserstein-1 distance (using the diffusion metric as ground cost) between the pushforward degree measure and the next shell's measure decays geometrically toward 0, converging to the SAME sqrt(2) rate found for metric-invariance violation -- even though total variation distance (the norm implicitly used in C-004F/H) does not. This is a genuinely new, positive, cross-validated result -- not a full proof.</t>
        </is>
      </c>
    </row>
  </sheetData>
  <mergeCells count="1">
    <mergeCell ref="A6:F6"/>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C-004I.1 -- EXACT SOURCE DEFINITION OF DIFFUSION DISTANCE</t>
        </is>
      </c>
    </row>
    <row r="2">
      <c r="A2" s="22" t="inlineStr"/>
    </row>
    <row r="5">
      <c r="A5" s="30" t="inlineStr">
        <is>
          <t>Formula</t>
        </is>
      </c>
    </row>
    <row r="6" ht="60" customHeight="1">
      <c r="A6" s="24" t="inlineStr">
        <is>
          <t>d(i,j) = sqrt( sum_{k: lambda_k&gt;0} (phi_k(i)-phi_k(j))^2 / lambda_k )</t>
        </is>
      </c>
    </row>
    <row r="8">
      <c r="A8" s="30" t="inlineStr">
        <is>
          <t>Source</t>
        </is>
      </c>
    </row>
    <row r="9" ht="50" customHeight="1">
      <c r="A9" s="24" t="inlineStr">
        <is>
          <t>ENG-011 in the original Calculation Engine sheet ('Distance d(i,j)=sqrt(Sum_k((phi_k(i)-phi_k(j))^2/lambda_k)) | lambda,phi | d | EXECUTABLE | Exclude zero mode'); DER-GEO-005 'd(i,j) = diffusion distance', CERTIFIED; cross-referenced as 'Spec(L) -&gt; diffusion distance -&gt; metric' dozens of times across the corpus.</t>
        </is>
      </c>
    </row>
    <row r="11">
      <c r="A11" s="30" t="inlineStr">
        <is>
          <t>No time parameter</t>
        </is>
      </c>
    </row>
    <row r="12" ht="40" customHeight="1">
      <c r="A12" s="24" t="inlineStr">
        <is>
          <t>Confirmed: this is the TIME-INDEPENDENT (commute-time-type) form using bare 1/lambda_k weights, not a time-parameterized family d_t(i,j)^2=sum w_m(t)(...)^2. No alternative time-parameterized formulation was found anywhere in the corpus after re-checking every 'diffusion distance' occurrence.</t>
        </is>
      </c>
    </row>
    <row r="14">
      <c r="A14" s="30" t="inlineStr">
        <is>
          <t>Normalization</t>
        </is>
      </c>
    </row>
    <row r="15" ht="30" customHeight="1">
      <c r="A15" s="24" t="inlineStr">
        <is>
          <t>phi_k orthonormal under the STANDARD (counting-measure) inner product -- consistent with every other certified use of Spec(L) in this project (eigendecomposition via DER-SPC-003, already verified throughout runs 2-8).</t>
        </is>
      </c>
    </row>
  </sheetData>
  <mergeCells count="4">
    <mergeCell ref="A6:F6"/>
    <mergeCell ref="A15:F15"/>
    <mergeCell ref="A12:F12"/>
    <mergeCell ref="A9:F9"/>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40" customWidth="1" min="1" max="1"/>
  </cols>
  <sheetData>
    <row r="1">
      <c r="A1" s="21" t="inlineStr">
        <is>
          <t>d(i,j)^2 = R_eff(i,j) -- ANALYTIC PROOF</t>
        </is>
      </c>
    </row>
    <row r="2">
      <c r="A2" s="22" t="inlineStr"/>
    </row>
    <row r="5">
      <c r="A5" s="23" t="inlineStr">
        <is>
          <t>Step</t>
        </is>
      </c>
    </row>
    <row r="6">
      <c r="A6" s="24" t="inlineStr">
        <is>
          <t>1. L = sum_{k:lambda_k&gt;0} lambda_k phi_k phi_k^T (spectral decomposition, standard).</t>
        </is>
      </c>
    </row>
    <row r="7">
      <c r="A7" s="24" t="inlineStr">
        <is>
          <t>2. The Moore-Penrose pseudoinverse of a symmetric PSD matrix acts as the ordinary inverse on range(L)=ker(L)^perp and as zero on ker(L): L^+ = sum_{k:lambda_k&gt;0} (1/lambda_k) phi_k phi_k^T (standard linear-algebra fact).</t>
        </is>
      </c>
    </row>
    <row r="8">
      <c r="A8" s="24" t="inlineStr">
        <is>
          <t>3. Effective resistance is defined via the pseudoinverse quadratic form (Klein-Randic / Foster's-theorem-adjacent standard identity in algebraic graph theory): R_eff(i,j) = (e_i-e_j)^T L^+ (e_i-e_j).</t>
        </is>
      </c>
    </row>
    <row r="9">
      <c r="A9" s="24" t="inlineStr">
        <is>
          <t>4. Substituting step 2 into step 3: R_eff(i,j) = sum_k (1/lambda_k) (e_i-e_j)^T phi_k phi_k^T (e_i-e_j) = sum_k (1/lambda_k)(phi_k(i)-phi_k(j))^2.</t>
        </is>
      </c>
    </row>
    <row r="10">
      <c r="A10" s="24" t="inlineStr">
        <is>
          <t>5. This is EXACTLY ENG-011's stated formula for d(i,j)^2 (same sum, same 'exclude zero mode' convention). QED.</t>
        </is>
      </c>
    </row>
    <row r="11">
      <c r="A11" s="30" t="inlineStr">
        <is>
          <t>Status</t>
        </is>
      </c>
    </row>
    <row r="12" ht="60" customHeight="1">
      <c r="A12" s="24" t="inlineStr">
        <is>
          <t>PROVEN ANALYTICALLY (general graph-theoretic identity, not merely numerically observed for ARBS)</t>
        </is>
      </c>
    </row>
    <row r="14">
      <c r="A14" s="30" t="inlineStr">
        <is>
          <t>Numerical confirmation</t>
        </is>
      </c>
    </row>
    <row r="15" ht="40" customHeight="1">
      <c r="A15" s="24" t="inlineStr">
        <is>
          <t>max|d(i,j)^2 - R_eff(i,j)| computed directly for G0-G8: residuals 1.1e-16 to 1.2e-12, consistent with floating-point roundoff of an exact identity, not an approximate coincidence.</t>
        </is>
      </c>
    </row>
  </sheetData>
  <mergeCells count="2">
    <mergeCell ref="A15:F15"/>
    <mergeCell ref="A12:F12"/>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0" customWidth="1" min="1" max="1"/>
    <col width="20" customWidth="1" min="2" max="2"/>
  </cols>
  <sheetData>
    <row r="1">
      <c r="A1" s="21" t="inlineStr">
        <is>
          <t>EFFECTIVE RESISTANCE -- IDENTITY CHECK</t>
        </is>
      </c>
    </row>
    <row r="2">
      <c r="A2" s="22" t="inlineStr">
        <is>
          <t>max|d(i,j)^2 - R_eff(i,j)| across G0-G8</t>
        </is>
      </c>
    </row>
    <row r="5">
      <c r="A5" s="23" t="inlineStr">
        <is>
          <t>Shell</t>
        </is>
      </c>
      <c r="B5" s="23" t="inlineStr">
        <is>
          <t>max|d^2-R_eff|</t>
        </is>
      </c>
    </row>
    <row r="6">
      <c r="A6" s="24" t="inlineStr">
        <is>
          <t>G0</t>
        </is>
      </c>
      <c r="B6" s="24" t="n">
        <v>1.110223024625157e-16</v>
      </c>
    </row>
    <row r="7">
      <c r="A7" s="24" t="inlineStr">
        <is>
          <t>G1</t>
        </is>
      </c>
      <c r="B7" s="24" t="n">
        <v>1.687538997430238e-14</v>
      </c>
    </row>
    <row r="8">
      <c r="A8" s="24" t="inlineStr">
        <is>
          <t>G2</t>
        </is>
      </c>
      <c r="B8" s="24" t="n">
        <v>3.996802888650564e-15</v>
      </c>
    </row>
    <row r="9">
      <c r="A9" s="24" t="inlineStr">
        <is>
          <t>G3</t>
        </is>
      </c>
      <c r="B9" s="24" t="n">
        <v>3.108624468950438e-15</v>
      </c>
    </row>
    <row r="10">
      <c r="A10" s="24" t="inlineStr">
        <is>
          <t>G4</t>
        </is>
      </c>
      <c r="B10" s="24" t="n">
        <v>3.774758283725532e-15</v>
      </c>
    </row>
    <row r="11">
      <c r="A11" s="24" t="inlineStr">
        <is>
          <t>G5</t>
        </is>
      </c>
      <c r="B11" s="24" t="n">
        <v>1.865174681370263e-14</v>
      </c>
    </row>
    <row r="12">
      <c r="A12" s="24" t="inlineStr">
        <is>
          <t>G6</t>
        </is>
      </c>
      <c r="B12" s="24" t="n">
        <v>2.398081733190338e-14</v>
      </c>
    </row>
    <row r="13">
      <c r="A13" s="24" t="inlineStr">
        <is>
          <t>G7</t>
        </is>
      </c>
      <c r="B13" s="24" t="n">
        <v>1.092459456231154e-13</v>
      </c>
    </row>
    <row r="14">
      <c r="A14" s="24" t="inlineStr">
        <is>
          <t>G8</t>
        </is>
      </c>
      <c r="B14" s="24" t="n">
        <v>1.163291685202239e-12</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0" customWidth="1" min="1" max="1"/>
    <col width="40" customWidth="1" min="2" max="2"/>
  </cols>
  <sheetData>
    <row r="1">
      <c r="A1" s="21" t="inlineStr">
        <is>
          <t>C-004I.2 -- CLOSED-FORM ANALYSIS</t>
        </is>
      </c>
    </row>
    <row r="2">
      <c r="A2" s="22" t="inlineStr"/>
    </row>
    <row r="5">
      <c r="A5" s="30" t="inlineStr">
        <is>
          <t>Vertex-class symmetry (claim + proof sketch)</t>
        </is>
      </c>
    </row>
    <row r="6" ht="90" customHeight="1">
      <c r="A6" s="24" t="inlineStr">
        <is>
          <t>d(i,j) depends only on the shell-partition CLASS of i and j (L_0,R_0,L_1,R_1,...), not on which specific vertex within a class -- an exact consequence of the ARBS automorphism group. Any permutation of vertices within a single L_m or R_m (fixing all other vertices) is a graph automorphism of the ARBS construction, because every vertex within L_m (resp. R_m) has an identical neighborhood by the K_{2^m,2^m} intra-shell and R_{m-1}xL_m/R_mxL_{m+1} inter-shell rules. Graph automorphisms commute with L and permute its eigenspaces consistently, so diffusion distance (a function of L's spectral data alone) is automorphism-invariant: d(sigma(i),sigma(j))=d(i,j) for every automorphism sigma. Since any two vertices in the same class are related by such a sigma, d restricted to any class-pair is constant.</t>
        </is>
      </c>
    </row>
    <row r="8">
      <c r="A8" s="30" t="inlineStr">
        <is>
          <t>Status</t>
        </is>
      </c>
    </row>
    <row r="9" ht="40" customHeight="1">
      <c r="A9" s="24" t="inlineStr">
        <is>
          <t>PROVEN (general argument) + numerically confirmed to machine precision (max std-dev within any class-pair: 0 to 2.4e-16 for G0-G5)</t>
        </is>
      </c>
    </row>
    <row r="11">
      <c r="A11" s="23" t="inlineStr">
        <is>
          <t>Shell</t>
        </is>
      </c>
      <c r="B11" s="23" t="inlineStr">
        <is>
          <t>max std-dev within class-pair (should be ~0)</t>
        </is>
      </c>
    </row>
    <row r="12">
      <c r="A12" s="24" t="inlineStr">
        <is>
          <t>G0</t>
        </is>
      </c>
      <c r="B12" s="24" t="n">
        <v>0</v>
      </c>
    </row>
    <row r="13">
      <c r="A13" s="24" t="inlineStr">
        <is>
          <t>G1</t>
        </is>
      </c>
      <c r="B13" s="24" t="n">
        <v>1.110223024625157e-16</v>
      </c>
    </row>
    <row r="14">
      <c r="A14" s="24" t="inlineStr">
        <is>
          <t>G2</t>
        </is>
      </c>
      <c r="B14" s="24" t="n">
        <v>1.570092458683775e-16</v>
      </c>
    </row>
    <row r="15">
      <c r="A15" s="24" t="inlineStr">
        <is>
          <t>G3</t>
        </is>
      </c>
      <c r="B15" s="24" t="n">
        <v>1.922962686383564e-16</v>
      </c>
    </row>
    <row r="16">
      <c r="A16" s="24" t="inlineStr">
        <is>
          <t>G4</t>
        </is>
      </c>
      <c r="B16" s="24" t="n">
        <v>2.125915238862715e-16</v>
      </c>
    </row>
    <row r="17">
      <c r="A17" s="24" t="inlineStr">
        <is>
          <t>G5</t>
        </is>
      </c>
      <c r="B17" s="24" t="n">
        <v>2.398355846665908e-16</v>
      </c>
    </row>
    <row r="20">
      <c r="A20" s="30" t="inlineStr">
        <is>
          <t>Quotient matrix reduction</t>
        </is>
      </c>
    </row>
    <row r="21" ht="70" customHeight="1">
      <c r="A21" s="24" t="inlineStr">
        <is>
          <t>The equitable partition {L_0,R_0,...,L_k,R_k} yields a 2(k+1)x2(k+1) quotient (divisor) matrix B_k whose eigenvalues are a SUBSET of Spec(L_k) (standard equitable-partition/graph-quotient theory), with the remaining eigenvalues of L_k coming from 'local' antisymmetric eigenvectors supported within a single class or pair of adjacent classes (easier to characterize individually since they involve fewer degrees of freedom).</t>
        </is>
      </c>
    </row>
    <row r="23">
      <c r="A23" s="30" t="inlineStr">
        <is>
          <t>Status</t>
        </is>
      </c>
    </row>
    <row r="24" ht="50" customHeight="1">
      <c r="A24" s="24" t="inlineStr">
        <is>
          <t>STRUCTURE IDENTIFIED, not fully carried out -- deriving a closed-form symbolic diagonalization of the resulting block-tridiagonal-like recursion is a genuine, well-posed further research question, not attempted here as it would constitute introducing substantial new mathematical machinery beyond straightforward verification.</t>
        </is>
      </c>
    </row>
    <row r="26">
      <c r="A26" s="30" t="inlineStr">
        <is>
          <t>D_inf</t>
        </is>
      </c>
    </row>
    <row r="27" ht="40" customHeight="1">
      <c r="A27" s="24" t="inlineStr">
        <is>
          <t>NOT derived in closed form. Strong numerical evidence (4 shells, G5-G8, agreeing to 10 decimal places) gives D_inf ~ 1.4288690166..., but no analytic derivation of this constant is given. Recorded as OPEN / numerically characterized only.</t>
        </is>
      </c>
    </row>
  </sheetData>
  <mergeCells count="5">
    <mergeCell ref="A24:F24"/>
    <mergeCell ref="A9:F9"/>
    <mergeCell ref="A27:F27"/>
    <mergeCell ref="A6:F6"/>
    <mergeCell ref="A21:F21"/>
  </mergeCell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C-004I.3 -- REFINEMENT MAP</t>
        </is>
      </c>
    </row>
    <row r="2">
      <c r="A2" s="22" t="inlineStr"/>
    </row>
    <row r="5">
      <c r="A5" s="30" t="inlineStr">
        <is>
          <t>rho_k</t>
        </is>
      </c>
    </row>
    <row r="6" ht="40" customHeight="1">
      <c r="A6" s="24" t="inlineStr">
        <is>
          <t>Exact inclusion: G_k is an induced subgraph of G_k+1. Vertex/shell/partition/edge ancestry preserved verbatim; only R_k vertices gain degree, each by exactly 2^(k+1).</t>
        </is>
      </c>
    </row>
    <row r="8">
      <c r="A8" s="30" t="inlineStr">
        <is>
          <t>Distinction preserved</t>
        </is>
      </c>
    </row>
    <row r="9" ht="50" customHeight="1">
      <c r="A9" s="24" t="inlineStr">
        <is>
          <t>This is NESTED GRAPH INCLUSION (a combinatorial/topological fact, exact, proven), which is DIFFERENT from metric refinement (a statement about how DISTANCES behave under this inclusion, tested below -- found to be asymptotic, not exact).</t>
        </is>
      </c>
    </row>
  </sheetData>
  <mergeCells count="2">
    <mergeCell ref="A6:F6"/>
    <mergeCell ref="A9:F9"/>
  </mergeCell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6" customWidth="1" min="1" max="1"/>
    <col width="30" customWidth="1" min="2" max="2"/>
  </cols>
  <sheetData>
    <row r="1">
      <c r="A1" s="21" t="inlineStr">
        <is>
          <t>C-004I.3/4 -- epsilon_k PRECISE DEFINITION AND METRIC INVARIANCE</t>
        </is>
      </c>
    </row>
    <row r="2">
      <c r="A2" s="22" t="inlineStr"/>
    </row>
    <row r="5">
      <c r="A5" s="30" t="inlineStr">
        <is>
          <t>Precise definition</t>
        </is>
      </c>
    </row>
    <row r="6" ht="50" customHeight="1">
      <c r="A6" s="24" t="inlineStr">
        <is>
          <t>epsilon_k := max_{i,j in V_k} | d_{k+1}(rho_k(i), rho_k(j)) - d_k(i,j) |  -- i.e. the maximum ABSOLUTE difference (not relative, not squared) in the UNSQUARED diffusion distance between the SAME pair of old vertices, evaluated once within G_k and once within G_k+1 (where rho_k is the identity inclusion on indices).</t>
        </is>
      </c>
    </row>
    <row r="8">
      <c r="A8" s="30" t="inlineStr">
        <is>
          <t>Why this quantity</t>
        </is>
      </c>
    </row>
    <row r="9" ht="40" customHeight="1">
      <c r="A9" s="24" t="inlineStr">
        <is>
          <t>This is the direct, literal object appearing in the source's own Induced Metric Invariance axiom d_{k+1}(R(v_i),R(v_j))=d_k(v_i,v_j) -- epsilon_k is exactly the failure (defect) of that axiom, in its most literal reading, maximized over all applicable vertex pairs.</t>
        </is>
      </c>
    </row>
    <row r="11">
      <c r="A11" s="23" t="inlineStr">
        <is>
          <t>Transition</t>
        </is>
      </c>
      <c r="B11" s="23" t="inlineStr">
        <is>
          <t>epsilon_k = max|d_k+1(i,j)-d_k(i,j)|</t>
        </is>
      </c>
    </row>
    <row r="12">
      <c r="A12" s="24" t="inlineStr">
        <is>
          <t>G0_to_G1</t>
        </is>
      </c>
      <c r="B12" s="24" t="n">
        <v>1.110223024625157e-16</v>
      </c>
    </row>
    <row r="13">
      <c r="A13" s="24" t="inlineStr">
        <is>
          <t>G1_to_G2</t>
        </is>
      </c>
      <c r="B13" s="24" t="n">
        <v>0.4226497308103739</v>
      </c>
    </row>
    <row r="14">
      <c r="A14" s="24" t="inlineStr">
        <is>
          <t>G2_to_G3</t>
        </is>
      </c>
      <c r="B14" s="24" t="n">
        <v>0.2988584907226846</v>
      </c>
    </row>
    <row r="15">
      <c r="A15" s="24" t="inlineStr">
        <is>
          <t>G3_to_G4</t>
        </is>
      </c>
      <c r="B15" s="24" t="n">
        <v>0.2113248654051874</v>
      </c>
    </row>
    <row r="16">
      <c r="A16" s="24" t="inlineStr">
        <is>
          <t>G4_to_G5</t>
        </is>
      </c>
      <c r="B16" s="24" t="n">
        <v>0.1494292453613425</v>
      </c>
    </row>
    <row r="17">
      <c r="A17" s="24" t="inlineStr">
        <is>
          <t>G5_to_G6</t>
        </is>
      </c>
      <c r="B17" s="24" t="n">
        <v>0.1056624327025937</v>
      </c>
    </row>
    <row r="18">
      <c r="A18" s="24" t="inlineStr">
        <is>
          <t>G6_to_G7</t>
        </is>
      </c>
      <c r="B18" s="24" t="n">
        <v>0.07471462268067126</v>
      </c>
    </row>
    <row r="19">
      <c r="A19" s="24" t="inlineStr">
        <is>
          <t>G7_to_G8</t>
        </is>
      </c>
      <c r="B19" s="24" t="n">
        <v>0.05283121635129687</v>
      </c>
    </row>
    <row r="20">
      <c r="A20" s="24" t="inlineStr">
        <is>
          <t>G8_to_G9</t>
        </is>
      </c>
      <c r="B20" s="24" t="n">
        <v>0.03735731134033565</v>
      </c>
    </row>
    <row r="21">
      <c r="A21" s="24" t="inlineStr">
        <is>
          <t>G9_to_G10</t>
        </is>
      </c>
      <c r="B21" s="24" t="n">
        <v>0.02641560817564849</v>
      </c>
    </row>
    <row r="23">
      <c r="A23" s="30" t="inlineStr">
        <is>
          <t>Ratios epsilon_k/epsilon_k+1 (all consecutive transitions from G2-&gt;G3):</t>
        </is>
      </c>
    </row>
    <row r="24" ht="40" customHeight="1">
      <c r="A24" s="24" t="inlineStr">
        <is>
          <t>[2.6268158801295184e-16, 1.4142135623730938, 1.4142135623730934, 1.414213562373095, 1.4142135623730951, 1.4142135623730945, 1.4142135623730954, 1.414213562373094, 1.4142135623730931]</t>
        </is>
      </c>
    </row>
    <row r="26">
      <c r="A26" s="30" t="inlineStr">
        <is>
          <t>Classification</t>
        </is>
      </c>
    </row>
    <row r="27" ht="60" customHeight="1">
      <c r="A27" s="24" t="inlineStr">
        <is>
          <t>ASYMPTOTIC, not exact, and NO RESCALING IS NEEDED to obtain this asymptotic behavior -- the raw, unrescaled diffusion distance already satisfies epsilon_k -&gt; 0 at rate sqrt(2)^{-k}, without introducing any s_k renormalization factor. This is a stronger and cleaner result than a renormalized-invariance finding would have been, since it requires no additional (potentially target-conditioned) scaling choice.</t>
        </is>
      </c>
    </row>
    <row r="29">
      <c r="A29" s="30" t="inlineStr">
        <is>
          <t>Rescaling needed?</t>
        </is>
      </c>
    </row>
    <row r="30" ht="50" customHeight="1">
      <c r="A30" s="24" t="inlineStr">
        <is>
          <t>Explicitly confirmed: since epsilon_k itself already shrinks toward 0 without any rescaling, introducing an s_k would be both unnecessary and (per the governing instruction) inadmissible unless independently source-derived. None is introduced.</t>
        </is>
      </c>
    </row>
  </sheetData>
  <mergeCells count="5">
    <mergeCell ref="A24:F24"/>
    <mergeCell ref="A9:F9"/>
    <mergeCell ref="A27:F27"/>
    <mergeCell ref="A6:F6"/>
    <mergeCell ref="A30:F30"/>
  </mergeCell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6" customWidth="1" min="1" max="1"/>
    <col width="30" customWidth="1" min="2" max="2"/>
  </cols>
  <sheetData>
    <row r="1">
      <c r="A1" s="21" t="inlineStr">
        <is>
          <t>SQUARED-DISTANCE VIOLATION (alternative epsilon definition, cross-check)</t>
        </is>
      </c>
    </row>
    <row r="2">
      <c r="A2" s="22" t="inlineStr"/>
    </row>
    <row r="5">
      <c r="A5" s="23" t="inlineStr">
        <is>
          <t>Transition</t>
        </is>
      </c>
      <c r="B5" s="23" t="inlineStr">
        <is>
          <t>max|d_k+1^2 - d_k^2|</t>
        </is>
      </c>
    </row>
    <row r="6">
      <c r="A6" s="24" t="inlineStr">
        <is>
          <t>G0_to_G1</t>
        </is>
      </c>
      <c r="B6" s="24" t="n">
        <v>2.220446049250313e-16</v>
      </c>
    </row>
    <row r="7">
      <c r="A7" s="24" t="inlineStr">
        <is>
          <t>G1_to_G2</t>
        </is>
      </c>
      <c r="B7" s="24" t="n">
        <v>0.6666666666666663</v>
      </c>
    </row>
    <row r="8">
      <c r="A8" s="24" t="inlineStr">
        <is>
          <t>G2_to_G3</t>
        </is>
      </c>
      <c r="B8" s="24" t="n">
        <v>0.3333333333333335</v>
      </c>
    </row>
    <row r="9">
      <c r="A9" s="24" t="inlineStr">
        <is>
          <t>G3_to_G4</t>
        </is>
      </c>
      <c r="B9" s="24" t="n">
        <v>0.1666666666666669</v>
      </c>
    </row>
    <row r="10">
      <c r="A10" s="24" t="inlineStr">
        <is>
          <t>G4_to_G5</t>
        </is>
      </c>
      <c r="B10" s="24" t="n">
        <v>0.08333333333333345</v>
      </c>
    </row>
    <row r="11">
      <c r="A11" s="24" t="inlineStr">
        <is>
          <t>G5_to_G6</t>
        </is>
      </c>
      <c r="B11" s="24" t="n">
        <v>0.04166666666666673</v>
      </c>
    </row>
    <row r="12">
      <c r="A12" s="24" t="inlineStr">
        <is>
          <t>G6_to_G7</t>
        </is>
      </c>
      <c r="B12" s="24" t="n">
        <v>0.02083333333333338</v>
      </c>
    </row>
    <row r="13">
      <c r="A13" s="24" t="inlineStr">
        <is>
          <t>G7_to_G8</t>
        </is>
      </c>
      <c r="B13" s="24" t="n">
        <v>0.01041666666666669</v>
      </c>
    </row>
    <row r="14">
      <c r="A14" s="24" t="inlineStr">
        <is>
          <t>G8_to_G9</t>
        </is>
      </c>
      <c r="B14" s="24" t="n">
        <v>0.005208333333333348</v>
      </c>
    </row>
    <row r="15">
      <c r="A15" s="24" t="inlineStr">
        <is>
          <t>G9_to_G10</t>
        </is>
      </c>
      <c r="B15" s="24" t="n">
        <v>0.002604166666666676</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21" t="inlineStr">
        <is>
          <t>C-004I.5 -- DEGREE MEASURE DEFECT, PRECISE DEFINITION</t>
        </is>
      </c>
    </row>
    <row r="2">
      <c r="A2" s="22" t="inlineStr"/>
    </row>
    <row r="5">
      <c r="A5" s="25" t="inlineStr">
        <is>
          <t>TV: Total variation distance = (1/2)*||push - pi_k+1||_1. This is the STRONGEST of the three (metrizes the strongest reasonable topology on measures).</t>
        </is>
      </c>
    </row>
    <row r="7">
      <c r="A7" s="25" t="inlineStr">
        <is>
          <t>L1: = ||push - pi_k+1||_1 = 2*TV exactly (standard identity for probability measures).</t>
        </is>
      </c>
    </row>
    <row r="9">
      <c r="A9" s="25" t="inlineStr">
        <is>
          <t>L2: = ||push - pi_k+1||_2 (Euclidean norm of the density difference vector).</t>
        </is>
      </c>
    </row>
    <row r="11">
      <c r="A11" s="25" t="inlineStr">
        <is>
          <t>Wasserstein1: = optimal-transport (earth-mover) distance using the CERTIFIED diffusion distance (C004I_metric_registry.json) as ground cost -- the metrically meaningful notion for a METRIC-MEASURE space, unlike TV/L1/L2 which ignore the metric entirely.</t>
        </is>
      </c>
    </row>
    <row r="14">
      <c r="A14" s="30" t="inlineStr">
        <is>
          <t>TV/L1/L2 trend</t>
        </is>
      </c>
    </row>
    <row r="15" ht="70" customHeight="1">
      <c r="A15" s="24" t="inlineStr">
        <is>
          <t>TV stabilizes at ~0.625 (unchanged from C-004F/H, recomputed and confirmed to 9 transitions this run: 0.7143, 0.6452, 0.6299, 0.6262, 0.62531, 0.62508, 0.62502, 0.625005, 0.625001, 0.6250004); L1 is exactly 2x TV at every step (verified); L2 also does not vanish (see C004I_measure_defects.csv for full values).</t>
        </is>
      </c>
    </row>
    <row r="17">
      <c r="A17" s="30" t="inlineStr">
        <is>
          <t>TV/L1/L2 verdict</t>
        </is>
      </c>
    </row>
    <row r="18" ht="40" customHeight="1">
      <c r="A18" s="24" t="inlineStr">
        <is>
          <t>PROVEN NON-CONVERGENT (unchanged from C-004F/H) -- these norms are metric-independent and give the identical, correctly-computed non-convergence result regardless of any subsequent metric finding.</t>
        </is>
      </c>
    </row>
  </sheetData>
  <mergeCells count="2">
    <mergeCell ref="A15:F15"/>
    <mergeCell ref="A18:F18"/>
  </mergeCell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24" customWidth="1" min="5" max="5"/>
  </cols>
  <sheetData>
    <row r="1">
      <c r="A1" s="21" t="inlineStr">
        <is>
          <t>MEASURE DEFECT VALUES, G0-G10</t>
        </is>
      </c>
    </row>
    <row r="2">
      <c r="A2" s="22" t="inlineStr"/>
    </row>
    <row r="5">
      <c r="A5" s="23" t="inlineStr">
        <is>
          <t>Transition</t>
        </is>
      </c>
      <c r="B5" s="23" t="inlineStr">
        <is>
          <t>TV</t>
        </is>
      </c>
      <c r="C5" s="23" t="inlineStr">
        <is>
          <t>L1</t>
        </is>
      </c>
      <c r="D5" s="23" t="inlineStr">
        <is>
          <t>L2</t>
        </is>
      </c>
      <c r="E5" s="23" t="inlineStr">
        <is>
          <t>Wasserstein-1 (diffusion)</t>
        </is>
      </c>
    </row>
    <row r="6">
      <c r="A6" s="24" t="inlineStr">
        <is>
          <t>G0_to_G1</t>
        </is>
      </c>
      <c r="B6" s="24" t="n">
        <v>0.7142857142857142</v>
      </c>
      <c r="C6" s="24" t="n">
        <v>1.428571428571428</v>
      </c>
      <c r="D6" s="24" t="n">
        <v>0.6308400618805605</v>
      </c>
      <c r="E6" s="24" t="n">
        <v>0.8217735336196352</v>
      </c>
    </row>
    <row r="7">
      <c r="A7" s="24" t="inlineStr">
        <is>
          <t>G1_to_G2</t>
        </is>
      </c>
      <c r="B7" s="24" t="n">
        <v>0.6451612903225805</v>
      </c>
      <c r="C7" s="24" t="n">
        <v>1.290322580645161</v>
      </c>
      <c r="D7" s="24" t="n">
        <v>0.3794504857186893</v>
      </c>
      <c r="E7" s="24" t="n">
        <v>0.5833984359437663</v>
      </c>
    </row>
    <row r="8">
      <c r="A8" s="24" t="inlineStr">
        <is>
          <t>G2_to_G3</t>
        </is>
      </c>
      <c r="B8" s="24" t="n">
        <v>0.6299212598425195</v>
      </c>
      <c r="C8" s="24" t="n">
        <v>1.259842519685039</v>
      </c>
      <c r="D8" s="24" t="n">
        <v>0.2515051414724791</v>
      </c>
      <c r="E8" s="24" t="n">
        <v>0.4008590204981203</v>
      </c>
    </row>
    <row r="9">
      <c r="A9" s="24" t="inlineStr">
        <is>
          <t>G3_to_G4</t>
        </is>
      </c>
      <c r="B9" s="24" t="n">
        <v>0.6262230919765166</v>
      </c>
      <c r="C9" s="24" t="n">
        <v>1.252446183953033</v>
      </c>
      <c r="D9" s="24" t="n">
        <v>0.1746981515647012</v>
      </c>
      <c r="E9" s="24" t="n">
        <v>0.2721689940381339</v>
      </c>
    </row>
    <row r="10">
      <c r="A10" s="24" t="inlineStr">
        <is>
          <t>G4_to_G5</t>
        </is>
      </c>
      <c r="B10" s="24" t="n">
        <v>0.625305324865657</v>
      </c>
      <c r="C10" s="24" t="n">
        <v>1.250610649731314</v>
      </c>
      <c r="D10" s="24" t="n">
        <v>0.1229482100894803</v>
      </c>
      <c r="E10" s="24" t="n">
        <v>0.1855482681686509</v>
      </c>
    </row>
    <row r="11">
      <c r="A11" s="24" t="inlineStr">
        <is>
          <t>G5_to_G6</t>
        </is>
      </c>
      <c r="B11" s="24" t="n">
        <v>0.6250763032596753</v>
      </c>
      <c r="C11" s="24" t="n">
        <v>1.250152606519351</v>
      </c>
      <c r="D11" s="24" t="n">
        <v>0.08683159713046559</v>
      </c>
      <c r="E11" s="24" t="n">
        <v>0.1277872892785885</v>
      </c>
    </row>
    <row r="12">
      <c r="A12" s="24" t="inlineStr">
        <is>
          <t>G6_to_G7</t>
        </is>
      </c>
      <c r="B12" s="24" t="n">
        <v>0.6250190740684225</v>
      </c>
      <c r="C12" s="24" t="n">
        <v>1.250038148136845</v>
      </c>
      <c r="D12" s="24" t="n">
        <v>0.06138018512532829</v>
      </c>
      <c r="E12" s="24" t="n">
        <v>0.08885790283327816</v>
      </c>
    </row>
    <row r="13">
      <c r="A13" s="24" t="inlineStr">
        <is>
          <t>G7_to_G8</t>
        </is>
      </c>
      <c r="B13" s="24" t="n">
        <v>0.625004768407962</v>
      </c>
      <c r="C13" s="24" t="n">
        <v>1.250009536815924</v>
      </c>
      <c r="D13" s="24" t="n">
        <v>0.04339895335795484</v>
      </c>
      <c r="E13" s="24" t="n">
        <v>0.0622176759414461</v>
      </c>
    </row>
    <row r="14">
      <c r="A14" s="24" t="inlineStr">
        <is>
          <t>G8_to_G9</t>
        </is>
      </c>
      <c r="B14" s="24" t="n">
        <v>0.6250011920951692</v>
      </c>
      <c r="C14" s="24" t="n">
        <v>1.250002384190338</v>
      </c>
      <c r="D14" s="24" t="n">
        <v>0.03068709204054565</v>
      </c>
      <c r="E14" s="24" t="n">
        <v>0.04375447284315048</v>
      </c>
    </row>
    <row r="15">
      <c r="A15" s="24" t="inlineStr">
        <is>
          <t>G9_to_G10</t>
        </is>
      </c>
      <c r="B15" s="24" t="n">
        <v>0.625000298023366</v>
      </c>
      <c r="C15" s="24" t="n">
        <v>1.250000596046732</v>
      </c>
      <c r="D15" s="24" t="n">
        <v>0.02169894419395229</v>
      </c>
      <c r="E15" s="24" t="n">
        <v>0.03084810977296999</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HEADLINE FINDING: WASSERSTEIN-1 CONVERGENCE</t>
        </is>
      </c>
    </row>
    <row r="2">
      <c r="A2" s="22" t="inlineStr"/>
    </row>
    <row r="5">
      <c r="A5" s="30" t="inlineStr">
        <is>
          <t>Finding</t>
        </is>
      </c>
    </row>
    <row r="6" ht="70" customHeight="1">
      <c r="A6" s="24" t="inlineStr">
        <is>
          <t>The Wasserstein-1 distance, computed using the CERTIFIED diffusion-distance ground metric, DOES appear to converge to 0 -- decaying geometrically, with ratio APPROACHING sqrt(2) as k increases (1.4086, 1.4554, 1.4728, 1.4668, 1.4520, 1.4381, 1.4282, 1.4220, 1.4184 for transitions G0-&gt;G1 through G8-&gt;G9, monotonically converging toward 1.41421356... from above after an initial transient).</t>
        </is>
      </c>
    </row>
    <row r="8">
      <c r="A8" s="30" t="inlineStr">
        <is>
          <t>Mechanism</t>
        </is>
      </c>
    </row>
    <row r="9" ht="90" customHeight="1">
      <c r="A9" s="24" t="inlineStr">
        <is>
          <t>TV/L1/L2 stay bounded away from zero because a persistent ~62.5% of the measure's mass sits on GENUINELY NEW atoms (vertices that did not exist in G_k) at every step -- these norms count that as 'all-or-nothing' disagreement regardless of how close the new atoms are, in the metric, to where the old mass concentrated. Wasserstein distance instead asks how FAR (in the certified diffusion metric) that mass has to move -- and since the diffusion-metric diameter is bounded and the new vertices are not metrically distant from the rest of the (increasingly clustered) point cloud, the transport cost shrinks even though the naive TV disagreement does not.</t>
        </is>
      </c>
    </row>
    <row r="11">
      <c r="A11" s="30" t="inlineStr">
        <is>
          <t>Relation to metric-invariance finding</t>
        </is>
      </c>
    </row>
    <row r="12" ht="50" customHeight="1">
      <c r="A12" s="24" t="inlineStr">
        <is>
          <t>The Wasserstein ratio's convergence toward the SAME sqrt(2) constant found for epsilon_k (C004I_refinement_registry.json) is consistent with both quantities being governed by the same underlying spectral convergence rate of the ARBS Laplacian family, though this run does not derive that connection analytically -- it is a numerical observation, presented as such.</t>
        </is>
      </c>
    </row>
    <row r="14">
      <c r="A14" s="30" t="inlineStr">
        <is>
          <t>Status</t>
        </is>
      </c>
    </row>
    <row r="15" ht="80" customHeight="1">
      <c r="A15" s="24" t="inlineStr">
        <is>
          <t>STRONG NUMERICAL EVIDENCE OF CONVERGENCE (10 transitions, clean and monotonic approach to a sqrt(2) decay rate) -- NOT a formal proof. This is the single most consequential new finding of C-004I: the earlier blanket 'measure does not converge' conclusion (C-004F/H) was correct FOR THE NORM TESTED (total variation) but that norm is not the mathematically appropriate one for testing metric-measure (Gromov-Hausdorff-Prokhorov / measured Gromov-Hausdorff) convergence -- Wasserstein / weak convergence is, and it behaves very differently.</t>
        </is>
      </c>
    </row>
  </sheetData>
  <mergeCells count="4">
    <mergeCell ref="A6:F6"/>
    <mergeCell ref="A15:F15"/>
    <mergeCell ref="A12:F12"/>
    <mergeCell ref="A9:F9"/>
  </mergeCell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C-004I.6 -- MEASURE RENORMALIZATION SEARCH</t>
        </is>
      </c>
    </row>
    <row r="2">
      <c r="A2" s="22" t="inlineStr"/>
    </row>
    <row r="5">
      <c r="A5" s="30" t="inlineStr">
        <is>
          <t>Finding</t>
        </is>
      </c>
    </row>
    <row r="6" ht="60" customHeight="1">
      <c r="A6" s="24" t="inlineStr">
        <is>
          <t>Given the Wasserstein result above, NO renormalization of pi_k is actually needed to obtain a positive convergence result -- the raw, source-certified degree measure pi_k=d_i/(2|E_k|), used as-is (no Z_k^{-1}w_k construction, no invented rescaling), already shows strong evidence of Wasserstein convergence under the (also raw, unrescaled) diffusion metric.</t>
        </is>
      </c>
    </row>
    <row r="8">
      <c r="A8" s="30" t="inlineStr">
        <is>
          <t>Search performed</t>
        </is>
      </c>
    </row>
    <row r="9" ht="40" customHeight="1">
      <c r="A9" s="24" t="inlineStr">
        <is>
          <t>A search for 'renormalization', 'mass scaling', 'packet measure', 'volume measure' terms across the corpus was performed for completeness per the governing instruction; no additional source-defined measure-renormalization law beyond pi_k=d_i/(2|E_k|) (BRIDGE B-005) was found.</t>
        </is>
      </c>
    </row>
    <row r="11">
      <c r="A11" s="30" t="inlineStr">
        <is>
          <t>Status</t>
        </is>
      </c>
    </row>
    <row r="12" ht="30" customHeight="1">
      <c r="A12" s="24" t="inlineStr">
        <is>
          <t>NOT NEEDED. The raw measure suffices for the (Wasserstein) sense in which convergence is found; TV-sense non-convergence is a property of that stronger norm, not a defect correctable by rescaling the measure itself.</t>
        </is>
      </c>
    </row>
  </sheetData>
  <mergeCells count="3">
    <mergeCell ref="A6:F6"/>
    <mergeCell ref="A12:F12"/>
    <mergeCell ref="A9:F9"/>
  </mergeCell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40" customWidth="1" min="1" max="1"/>
    <col width="100" customWidth="1" min="2" max="2"/>
  </cols>
  <sheetData>
    <row r="1">
      <c r="A1" s="21" t="inlineStr">
        <is>
          <t>C-004I.7/13 -- METRIC-MEASURE CONVERGENCE AND OUTCOME SELECTION</t>
        </is>
      </c>
    </row>
    <row r="2">
      <c r="A2" s="22" t="inlineStr"/>
    </row>
    <row r="5">
      <c r="A5" s="23" t="inlineStr">
        <is>
          <t>Option</t>
        </is>
      </c>
      <c r="B5" s="23" t="inlineStr">
        <is>
          <t>Description</t>
        </is>
      </c>
    </row>
    <row r="6">
      <c r="A6" s="24" t="inlineStr">
        <is>
          <t>A</t>
        </is>
      </c>
      <c r="B6" s="24" t="inlineStr">
        <is>
          <t>ARBS admits a proven metric-measure continuum limit.</t>
        </is>
      </c>
    </row>
    <row r="7">
      <c r="A7" s="24" t="inlineStr">
        <is>
          <t>B</t>
        </is>
      </c>
      <c r="B7" s="24" t="inlineStr">
        <is>
          <t>ARBS admits metric convergence but not measure convergence.</t>
        </is>
      </c>
    </row>
    <row r="8">
      <c r="A8" s="24" t="inlineStr">
        <is>
          <t>C</t>
        </is>
      </c>
      <c r="B8" s="24" t="inlineStr">
        <is>
          <t>ARBS fails metric-measure convergence for a precise theorem-level reason.</t>
        </is>
      </c>
    </row>
    <row r="9">
      <c r="A9" s="24" t="inlineStr">
        <is>
          <t>D</t>
        </is>
      </c>
      <c r="B9" s="24" t="inlineStr">
        <is>
          <t>Existing source material is insufficient to determine convergence.</t>
        </is>
      </c>
    </row>
    <row r="11">
      <c r="A11" s="30" t="inlineStr">
        <is>
          <t>Detail</t>
        </is>
      </c>
    </row>
    <row r="12">
      <c r="A12" s="23" t="inlineStr">
        <is>
          <t>Component finding</t>
        </is>
      </c>
    </row>
    <row r="13">
      <c r="A13" s="24" t="inlineStr">
        <is>
          <t>Metric (diffusion-distance) convergence: STRONG NUMERICAL EVIDENCE for convergence (bounded diameter, asymptotic invariance at a clean geometric rate) -- not formally proven (no closed-form/analytic spectral asymptotics derived). Closer to A than to C, but not A.</t>
        </is>
      </c>
    </row>
    <row r="14">
      <c r="A14" s="24" t="inlineStr">
        <is>
          <t>Measure convergence: DEPENDS ON THE NORM. In total variation (the norm implicitly used in C-004F/H): PROVEN NON-CONVERGENT (a genuine theorem-level result, exact and reproducible). In Wasserstein-1 (the metrically appropriate norm for a metric-measure limit, using the CERTIFIED diffusion metric as ground cost): STRONG NUMERICAL EVIDENCE FOR CONVERGENCE, with a rate matching the metric side.</t>
        </is>
      </c>
    </row>
    <row r="15">
      <c r="A15" s="24" t="inlineStr">
        <is>
          <t>Topological refinement mechanism (Primal Edge Scaling): PROVEN INCOMPATIBLE, unchanged -- this is the one piece of the puzzle that IS a clean theorem-level result in the negative direction.</t>
        </is>
      </c>
    </row>
    <row r="16">
      <c r="A16" s="30" t="inlineStr">
        <is>
          <t>Closest honest label</t>
        </is>
      </c>
    </row>
    <row r="17" ht="110" customHeight="1">
      <c r="A17" s="24" t="inlineStr">
        <is>
          <t>A qualified, evidence-graded version between A and B: strong (not yet formally proven) evidence FOR a genuine metric-measure limit in the Wasserstein/weak sense, for the diffusion metric and degree measure taken together, coexisting with a PROVEN theorem-level fact that (1) the source's own stated derivation MECHANISM (Primal Edge Scaling) cannot produce this limit even if it exists, and (2) the STRONGER total-variation sense of measure convergence provably fails. No outcome is forced or overclaimed; the graded, componentwise picture is preserved as the actual result.</t>
        </is>
      </c>
    </row>
    <row r="19">
      <c r="A19" s="30" t="inlineStr">
        <is>
          <t>L_k vs Q_k caveat (CRITICAL)</t>
        </is>
      </c>
    </row>
    <row r="20" ht="50" customHeight="1">
      <c r="A20" s="24" t="inlineStr">
        <is>
          <t>All of the above concerns the L_k-based spectral/geometric branch. It does not resolve the Q_k-based thermodynamic/Fokker-Planck question (C-004E), which remains open and untouched by this run.</t>
        </is>
      </c>
    </row>
  </sheetData>
  <mergeCells count="2">
    <mergeCell ref="A20:F20"/>
    <mergeCell ref="A17:F17"/>
  </mergeCell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C-004I.9 -- DIRICHLET FORM RECONCILIATION (L_k vs Q_k)</t>
        </is>
      </c>
    </row>
    <row r="2">
      <c r="A2" s="22" t="inlineStr"/>
    </row>
    <row r="5">
      <c r="A5" s="30" t="inlineStr">
        <is>
          <t>Requested form</t>
        </is>
      </c>
    </row>
    <row r="6" ht="50" customHeight="1">
      <c r="A6" s="24" t="inlineStr">
        <is>
          <t>E_k(f,f) = (1/2) sum_ij A_ij(f_i-f_j)^2 = f^T L_k f  (standard, UNNORMALIZED graph Dirichlet form -- exactly 2|E_k| times the mu-normalized form E_k(f,g)=&lt;f,-Q_kg&gt;_mu derived and proven in C-004F.4/C-004H.8)</t>
        </is>
      </c>
    </row>
    <row r="8">
      <c r="A8" s="30" t="inlineStr">
        <is>
          <t>Critical distinction preserved</t>
        </is>
      </c>
    </row>
    <row r="9" ht="80" customHeight="1">
      <c r="A9" s="24" t="inlineStr">
        <is>
          <t>This unnormalized form f^T L_k f is tied DIRECTLY to the SPECTRAL Laplacian L_k, NOT to the thermodynamic generator Q_k=-D_k^{-1}L_k. The diffusion-distance/effective-resistance metric investigated throughout this run is ALSO an L_k object (built from Spec(L_k) via DER-GEO-005) -- it has the standard variational characterization R_eff(i,j)^{-1} = min{f^T L_k f : f(i)=1, f(j)=0}, tying it to exactly this SAME unnormalized L_k-Dirichlet form, not to Q_k.</t>
        </is>
      </c>
    </row>
    <row r="11">
      <c r="A11" s="30" t="inlineStr">
        <is>
          <t>Consequence</t>
        </is>
      </c>
    </row>
    <row r="12" ht="90" customHeight="1">
      <c r="A12" s="24" t="inlineStr">
        <is>
          <t>IMPORTANT: the positive metric/measure findings of this run (bounded diffusion diameter, asymptotic metric invariance, Wasserstein convergence) all pertain to the L_k-based SPECTRAL/GEOMETRIC branch. They say NOTHING DIRECTLY about the Q_k-based THERMODYNAMIC branch, which remains a provably distinct operator for irregular graphs (THM-GEN-DISTINCT-001, C-004D/E, unaffected by this run). Do not conflate: a promising L_k-geometric continuum limit does not, by itself, resolve the original C-004E Fokker-Planck correspondence question, which is specifically about Q_k.</t>
        </is>
      </c>
    </row>
    <row r="14">
      <c r="A14" s="30" t="inlineStr">
        <is>
          <t>Status</t>
        </is>
      </c>
    </row>
    <row r="15" ht="30" customHeight="1">
      <c r="A15" s="24" t="inlineStr">
        <is>
          <t>L_k vs Q_k distinction PRESERVED throughout, per explicit instruction; not conflated at any point</t>
        </is>
      </c>
    </row>
  </sheetData>
  <mergeCells count="4">
    <mergeCell ref="A6:F6"/>
    <mergeCell ref="A15:F15"/>
    <mergeCell ref="A12:F12"/>
    <mergeCell ref="A9:F9"/>
  </mergeCell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C-004I.8 -- CONTINUUM DIMENSION DIAGNOSTICS</t>
        </is>
      </c>
    </row>
    <row r="2">
      <c r="A2" s="22" t="inlineStr"/>
    </row>
    <row r="5">
      <c r="A5" s="30" t="inlineStr">
        <is>
          <t>Volume growth</t>
        </is>
      </c>
    </row>
    <row r="6" ht="90" customHeight="1">
      <c r="A6" s="24" t="inlineStr">
        <is>
          <t>NOT well-described by a power law N(r)~r^d. The point cloud is heavily CONCENTRATED: e.g. fewer than 2 of 4094 vertices lie within diffusion-distance 1.0 of the apex, while the diameter itself is only ~1.43 -- most mass clusters very close to a small region, with a few outlying points near the diameter. This is inconsistent with a 'nice' d-dimensional manifold-like bulk; it instead suggests the limiting structure (if any) is dominated by a near-singular concentration, not a regularly-filling space.</t>
        </is>
      </c>
    </row>
    <row r="8">
      <c r="A8" s="30" t="inlineStr">
        <is>
          <t>Volume growth status</t>
        </is>
      </c>
    </row>
    <row r="9" ht="30" customHeight="1">
      <c r="A9" s="24" t="inlineStr">
        <is>
          <t>INCONCLUSIVE -- no meaningful volume-growth dimension extracted; this is reported as a genuine structural finding (extreme concentration), not a failure to compute.</t>
        </is>
      </c>
    </row>
    <row r="11">
      <c r="A11" s="30" t="inlineStr">
        <is>
          <t>Spectral dimension</t>
        </is>
      </c>
    </row>
    <row r="12" ht="60" customHeight="1">
      <c r="A12" s="24" t="inlineStr">
        <is>
          <t>Rough fit gives d_spec ~ 1.8, but this estimate is NOT robust -- sensitive to the exact t-range chosen, and for a FINITE graph the heat trace trivially saturates toward N as t-&gt;0, so no genuinely intermediate scaling regime was carefully isolated or validated against known asymptotics.</t>
        </is>
      </c>
    </row>
    <row r="14">
      <c r="A14" s="30" t="inlineStr">
        <is>
          <t>Spectral dimension status</t>
        </is>
      </c>
    </row>
    <row r="15" ht="40" customHeight="1">
      <c r="A15" s="24" t="inlineStr">
        <is>
          <t>PRELIMINARY / NOT VALIDATED. Reported honestly as a rough, unreliable estimate, not a fitted or endorsed dimension. Per the governing instruction not to fit a desired dimension, no further tuning was performed to sharpen or 'improve' this number.</t>
        </is>
      </c>
    </row>
  </sheetData>
  <mergeCells count="4">
    <mergeCell ref="A6:F6"/>
    <mergeCell ref="A15:F15"/>
    <mergeCell ref="A12:F12"/>
    <mergeCell ref="A9:F9"/>
  </mergeCell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Checked objects</t>
        </is>
      </c>
    </row>
    <row r="6" ht="40" customHeight="1">
      <c r="A6" s="24" t="inlineStr">
        <is>
          <t>diffusion distance matrix (all shells), effective resistance matrix, epsilon_k, Wasserstein-1 distances, TV/L1/L2 measure defects, vertex-class symmetry check, volume-growth and spectral-dimension diagnostics</t>
        </is>
      </c>
    </row>
    <row r="8">
      <c r="A8" s="30" t="inlineStr">
        <is>
          <t>Result</t>
        </is>
      </c>
    </row>
    <row r="9" ht="50" customHeight="1">
      <c r="A9" s="24" t="inlineStr">
        <is>
          <t>PASS -- every object is a function of (k, L_k, D_k) alone; no reference anywhere to 32, N_H, H_F, D_F, J_F, gamma_F, Y_u, Y_d, Y_e, Y_nu, V_CKM, U_PMNS, or Xi_obs. No hidden fitted constants (all quantities either exact identities or direct numerical computations from the graph structure).</t>
        </is>
      </c>
    </row>
  </sheetData>
  <mergeCells count="2">
    <mergeCell ref="A6:F6"/>
    <mergeCell ref="A9:F9"/>
  </mergeCell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FALSIFICATION LEDGER ADDITIONS</t>
        </is>
      </c>
    </row>
    <row r="2">
      <c r="A2" s="22" t="inlineStr"/>
    </row>
    <row r="5">
      <c r="A5" s="30" t="inlineStr">
        <is>
          <t>TV as the relevant convergence norm</t>
        </is>
      </c>
    </row>
    <row r="6" ht="70" customHeight="1">
      <c r="A6" s="24" t="inlineStr">
        <is>
          <t>The implicit choice of total variation distance in C-004F/H, while mathematically correct as computed, is now understood to have been the WRONG norm for testing measured-Gromov-Hausdorff-type convergence -- Wasserstein/weak convergence is the standard, appropriate notion, and it behaves oppositely. This is recorded as a methodological refinement, not a retraction: the TV computations themselves were and remain correct.</t>
        </is>
      </c>
    </row>
    <row r="8">
      <c r="A8" s="30" t="inlineStr">
        <is>
          <t>Edge-scaling law revisit</t>
        </is>
      </c>
    </row>
    <row r="9" ht="40" customHeight="1">
      <c r="A9" s="24" t="inlineStr">
        <is>
          <t>INCOMPATIBILITY PRESERVED, exactly as C-004G/C-004H established. Not weakened, not strengthened, by this run's metric findings.</t>
        </is>
      </c>
    </row>
    <row r="11">
      <c r="A11" s="30" t="inlineStr">
        <is>
          <t>Any legitimate reinterpretation of R(e) found for ARBS?</t>
        </is>
      </c>
    </row>
    <row r="12" ht="50" customHeight="1">
      <c r="A12" s="24" t="inlineStr">
        <is>
          <t>NONE. No interpretation under which R(e) could be identified with any ARBS-defined object was found: ARBS has no per-edge child-set structure at all (every existing edge is either present unchanged or the vertex pair simply doesn't exist yet -- there is no third category of 'edge that gets replaced'). The topological precondition for the Primal Edge Scaling law to even be stated remains absent.</t>
        </is>
      </c>
    </row>
  </sheetData>
  <mergeCells count="3">
    <mergeCell ref="A6:F6"/>
    <mergeCell ref="A12:F12"/>
    <mergeCell ref="A9:F9"/>
  </mergeCell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40" customWidth="1" min="1" max="1"/>
    <col width="90" customWidth="1" min="2" max="2"/>
  </cols>
  <sheetData>
    <row r="1">
      <c r="A1" s="21" t="inlineStr">
        <is>
          <t>C-004I CLOSURE MATRIX</t>
        </is>
      </c>
    </row>
    <row r="2">
      <c r="A2" s="22" t="inlineStr"/>
    </row>
    <row r="5">
      <c r="A5" s="23" t="inlineStr">
        <is>
          <t>Object</t>
        </is>
      </c>
      <c r="B5" s="23" t="inlineStr">
        <is>
          <t>Status</t>
        </is>
      </c>
    </row>
    <row r="6">
      <c r="A6" s="24" t="inlineStr">
        <is>
          <t>d(i,j)^2 = R_eff(i,j)</t>
        </is>
      </c>
      <c r="B6" s="24" t="inlineStr">
        <is>
          <t>PROVEN ANALYTICALLY (general graph identity)</t>
        </is>
      </c>
    </row>
    <row r="7">
      <c r="A7" s="24" t="inlineStr">
        <is>
          <t>Vertex-class symmetry</t>
        </is>
      </c>
      <c r="B7" s="24" t="inlineStr">
        <is>
          <t>PROVEN (automorphism argument) + verified to machine precision</t>
        </is>
      </c>
    </row>
    <row r="8">
      <c r="A8" s="24" t="inlineStr">
        <is>
          <t>Quotient-matrix reduction</t>
        </is>
      </c>
      <c r="B8" s="24" t="inlineStr">
        <is>
          <t>STRUCTURE IDENTIFIED; full symbolic diagonalization OPEN</t>
        </is>
      </c>
    </row>
    <row r="9">
      <c r="A9" s="24" t="inlineStr">
        <is>
          <t>D_inf (diameter limit)</t>
        </is>
      </c>
      <c r="B9" s="24" t="inlineStr">
        <is>
          <t>NUMERICALLY CHARACTERIZED (~1.4288690166); not derived in closed form</t>
        </is>
      </c>
    </row>
    <row r="10">
      <c r="A10" s="24" t="inlineStr">
        <is>
          <t>epsilon_k (metric invariance violation)</t>
        </is>
      </c>
      <c r="B10" s="24" t="inlineStr">
        <is>
          <t>PRECISELY DEFINED; ratio = sqrt(2) to 14+ sig figs, 8 consecutive transitions</t>
        </is>
      </c>
    </row>
    <row r="11">
      <c r="A11" s="24" t="inlineStr">
        <is>
          <t>Metric invariance</t>
        </is>
      </c>
      <c r="B11" s="24" t="inlineStr">
        <is>
          <t>ASYMPTOTIC, no rescaling needed (strong numerical evidence, not proven)</t>
        </is>
      </c>
    </row>
    <row r="12">
      <c r="A12" s="24" t="inlineStr">
        <is>
          <t>Edge-scaling law (Primal Edge Scaling)</t>
        </is>
      </c>
      <c r="B12" s="24" t="inlineStr">
        <is>
          <t>PROVEN INCOMPATIBLE (unchanged)</t>
        </is>
      </c>
    </row>
    <row r="13">
      <c r="A13" s="24" t="inlineStr">
        <is>
          <t>TV/L1/L2 measure convergence</t>
        </is>
      </c>
      <c r="B13" s="24" t="inlineStr">
        <is>
          <t>PROVEN NON-CONVERGENT (unchanged)</t>
        </is>
      </c>
    </row>
    <row r="14">
      <c r="A14" s="24" t="inlineStr">
        <is>
          <t>Wasserstein-1 measure convergence</t>
        </is>
      </c>
      <c r="B14" s="24" t="inlineStr">
        <is>
          <t>STRONG NUMERICAL EVIDENCE OF CONVERGENCE (new, headline finding)</t>
        </is>
      </c>
    </row>
    <row r="15">
      <c r="A15" s="24" t="inlineStr">
        <is>
          <t>Dirichlet form (mu-normalized)</t>
        </is>
      </c>
      <c r="B15" s="24" t="inlineStr">
        <is>
          <t>DERIVED/VERIFIED (unchanged, C-004F.4)</t>
        </is>
      </c>
    </row>
    <row r="16">
      <c r="A16" s="24" t="inlineStr">
        <is>
          <t>L_k vs Q_k</t>
        </is>
      </c>
      <c r="B16" s="24" t="inlineStr">
        <is>
          <t>DISTINCT, preserved -- geometric findings pertain to L_k only</t>
        </is>
      </c>
    </row>
    <row r="17">
      <c r="A17" s="24" t="inlineStr">
        <is>
          <t>Continuum dimension</t>
        </is>
      </c>
      <c r="B17" s="24" t="inlineStr">
        <is>
          <t>INCONCLUSIVE (volume growth); PRELIMINARY/unvalidated (~1.8 spectral)</t>
        </is>
      </c>
    </row>
    <row r="18">
      <c r="A18" s="24" t="inlineStr">
        <is>
          <t>Outcome A/B/C/D</t>
        </is>
      </c>
      <c r="B18" s="24" t="inlineStr">
        <is>
          <t>NONE cleanly applies; graded componentwise result recorded instead</t>
        </is>
      </c>
    </row>
    <row r="19">
      <c r="A19" s="24" t="inlineStr">
        <is>
          <t>sigma_k</t>
        </is>
      </c>
      <c r="B19" s="24" t="inlineStr">
        <is>
          <t>PROVEN NON-IDENTIFIABLE (untouched, per instruction)</t>
        </is>
      </c>
    </row>
    <row r="20">
      <c r="A20" s="24" t="inlineStr">
        <is>
          <t>G*</t>
        </is>
      </c>
      <c r="B20" s="24" t="inlineStr">
        <is>
          <t>UNRESOLVED (unchanged)</t>
        </is>
      </c>
    </row>
    <row r="21">
      <c r="A21" s="24" t="inlineStr">
        <is>
          <t>PACKET-REFINEMENT-RECOVERY-001</t>
        </is>
      </c>
      <c r="B21" s="24" t="inlineStr">
        <is>
          <t>NOT ACTIVATED -- ARBS not shown to fail continuum substrate requirements</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UPDATED CANONICAL DEPENDENCY CHAIN</t>
        </is>
      </c>
    </row>
    <row r="2">
      <c r="A2" s="22" t="inlineStr"/>
    </row>
    <row r="5" ht="160" customHeight="1">
      <c r="A5" s="24" t="inlineStr">
        <is>
          <t>Gamma &lt; ARBS &lt; G_k &lt; A_k,D_k &lt; L_k &lt; Spec(L_k) &lt; [diffusion metric d_k (L_k-based, CONDITIONAL/PROMISING) &lt; Wasserstein measure convergence (L_k-based, CONDITIONAL/PROMISING)]  -- geometric branch, evidence-graded, not proven
L_k &lt; Spec(L_k) &lt; t_H,k &lt; lambda_c,k  -- spectral/persistence branch, unaffected
L_k &lt; D_k^{-1}L_k &lt; Q_k &lt; Q_k* &lt; P_ss,k &lt; F_k &lt; sigma_k (PROVEN NON-IDENTIFIABLE)  -- thermodynamic branch, UNTOUCHED and NOT resolved by the geometric branch's findings (THM-GEN-DISTINCT-001 keeps these separate)
Both branches still required to reunite at Pi_0(G_k) &lt; G* -- neither reunification step is attempted this run.</t>
        </is>
      </c>
    </row>
  </sheetData>
  <mergeCells count="1">
    <mergeCell ref="A5:F5"/>
  </mergeCell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20" customHeight="1">
      <c r="A4" s="29" t="inlineStr">
        <is>
          <t>Two independent, well-posed mathematical tasks, neither resolvable by further reading of existing source material: (1) FORMALLY PROVE the Wasserstein-1 / diffusion-metric convergence analytically (an asymptotic spectral analysis of the ARBS Laplacian family along the lines sketched in C004I_metric_registry.json's quotient-matrix reduction), rather than relying on numerical evidence over 10 shells; and (2) determine whether ANY such proven L_k-based geometric/metric-measure limit has ANY bearing on the ORIGINALLY-SOUGHT Q_k-based thermodynamic Fokker-Planck correspondence (C-004E) -- given THM-GEN-DISTINCT-001 proves L_k and Q_k are different operators, a limit for one does not automatically transfer to the other, and no source material addresses this transfer question. Per the governing stop rule, this run does NOT proceed to sigma_k, Pi_0, G*, NCG, flavor, or scale, and does NOT activate PACKET-REFINEMENT-RECOVERY-001 -- ARBS has NOT been shown to fail the continuum substrate requirements (the opposite trend, if anything, is emerging on the geometric side), so the packet branch is explicitly NOT triggered this run.</t>
        </is>
      </c>
    </row>
  </sheetData>
  <mergeCells count="1">
    <mergeCell ref="A4:F4"/>
  </mergeCell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ARBS-ONTOLOGY-RECOVERY-001</t>
        </is>
      </c>
    </row>
    <row r="2">
      <c r="A2" s="22" t="inlineStr"/>
    </row>
    <row r="5">
      <c r="A5" s="30" t="inlineStr">
        <is>
          <t>Central finding</t>
        </is>
      </c>
    </row>
    <row r="6" ht="90" customHeight="1">
      <c r="A6" s="24" t="inlineStr">
        <is>
          <t>ARBS, as actually documented in source, is the project's own META-LEVEL derivation-pipeline hypergraph (8 fixed organizational shells, Omega through emergent physics) -- NOT a specific finite combinatorial graph to be spectrally analyzed. The K_{2^k,2^k}/R_{k-1}xL_k construction computed throughout runs 2-9 (labeled G_k in this run) is a DIFFERENT, self-contained graph family with no established, source-supported connection to the documented ARBS object.</t>
        </is>
      </c>
    </row>
    <row r="8">
      <c r="A8" s="30" t="inlineStr">
        <is>
          <t>Case classification</t>
        </is>
      </c>
    </row>
    <row r="9" ht="100" customHeight="1">
      <c r="A9" s="24" t="inlineStr">
        <is>
          <t>CASE D applies, decisively, on the evidence above: (1) ARBS's own documented ontology (Object/Operator bipartition, 8 fixed organizational shells indexing derivation STAGES not combinatorial recursion depth, 9 typed edge classes, hyperedges of arity&gt;=3, feedback-based recursion) is categorically different in kind from G_k's structure (untyped simple bipartite graph, unbounded recursion depth, symmetric adjacency only, no hyperedges); (2) no source document ever states or derives a map between them; (3) the ONLY reason G_k was ever labeled 'ARBS' is that it reproduces certain numeric checkpoints (sigma16, sigma17, N/E counts) that were themselves supplied alongside the construction rule as directive text, not independently found in source -- checkpoint reproduction is not documentary provenance (a principle this project has itself insisted on since run 1). Status: CASE D -- CONFIRMED</t>
        </is>
      </c>
    </row>
  </sheetData>
  <mergeCells count="2">
    <mergeCell ref="A6:F6"/>
    <mergeCell ref="A9:F9"/>
  </mergeCell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6" customWidth="1" min="1" max="1"/>
    <col width="90" customWidth="1" min="2" max="2"/>
    <col width="40" customWidth="1" min="3" max="3"/>
  </cols>
  <sheetData>
    <row r="1">
      <c r="A1" s="21" t="inlineStr">
        <is>
          <t>ACRONYM RECOVERY</t>
        </is>
      </c>
    </row>
    <row r="2">
      <c r="A2" s="22" t="inlineStr">
        <is>
          <t>ARBS = Abelian Recursive Bipartite Shell Typed Dependency Hyper-Graph</t>
        </is>
      </c>
    </row>
    <row r="5">
      <c r="A5" s="23" t="inlineStr">
        <is>
          <t>Letter/component</t>
        </is>
      </c>
      <c r="B5" s="23" t="inlineStr">
        <is>
          <t>Recovered meaning</t>
        </is>
      </c>
      <c r="C5" s="23" t="inlineStr">
        <is>
          <t>Status</t>
        </is>
      </c>
    </row>
    <row r="6">
      <c r="A6" s="24" t="inlineStr">
        <is>
          <t>Abelian</t>
        </is>
      </c>
      <c r="B6" s="24" t="inlineStr">
        <is>
          <t>Local operator commutativity [A,B]=0 for operators acting on independent subspaces/shells (row 1934); explicitly regional, not global -- see arbs_ontology_registry.json THM-ARBS-ABELIAN-001</t>
        </is>
      </c>
      <c r="C6" s="24" t="inlineStr">
        <is>
          <t>DERIVED / VERIFIED (for the stated operator-family examples)</t>
        </is>
      </c>
    </row>
    <row r="7">
      <c r="A7" s="24" t="inlineStr">
        <is>
          <t>Recursive</t>
        </is>
      </c>
      <c r="B7" s="24" t="inlineStr">
        <is>
          <t>A feedback/fixed-point self-reference: Pi_0 (shell 6 output) feeds back to constrain G (shell 1 input); the base primitive Omega is itself a 'recursive distinction' (row 2075). NOT a graph-growth recursion.</t>
        </is>
      </c>
      <c r="C7" s="24" t="inlineStr">
        <is>
          <t>DERIVED / VERIFIED (mechanism documented); distinct from G_k's growth-type recursion</t>
        </is>
      </c>
    </row>
    <row r="8">
      <c r="A8" s="24" t="inlineStr">
        <is>
          <t>Bipartite</t>
        </is>
      </c>
      <c r="B8" s="24" t="inlineStr">
        <is>
          <t>Object Node (states/entities) vs Operator Node (maps/functions) -- a SEMANTIC/TYPE bipartition of the hypergraph's own nodes (which represent mathematical objects and transformations in the project's derivation pipeline), NOT a structural halving of a combinatorial vertex set like G_k's L_k/R_k.</t>
        </is>
      </c>
      <c r="C8" s="24" t="inlineStr">
        <is>
          <t>DERIVED / VERIFIED (node taxonomy explicitly documented, row 1927)</t>
        </is>
      </c>
    </row>
    <row r="9">
      <c r="A9" s="24" t="inlineStr">
        <is>
          <t>Shell</t>
        </is>
      </c>
      <c r="B9" s="24" t="inlineStr">
        <is>
          <t>One of 8 FIXED organizational/physical-scale layers (k=0 Primitives through k=7 Emergent Structures) -- see full shell registry table in arbs_ontology_registry.json. NOT a combinatorial recursion depth as used for G_k throughout runs 2-9.</t>
        </is>
      </c>
      <c r="C9" s="24" t="inlineStr">
        <is>
          <t>DERIVED / VERIFIED (full table recovered, rows 2074-2082)</t>
        </is>
      </c>
    </row>
    <row r="10">
      <c r="A10" s="24" t="inlineStr">
        <is>
          <t>Typed</t>
        </is>
      </c>
      <c r="B10" s="24" t="inlineStr">
        <is>
          <t>Every edge and node carries an explicit type -- 2 node types (Object, Operator) and 9 edge types (Dependency, Creates/Generates, Transforms, Constrains, Measures/Spectral, Mapping/Functor, Feedback, Projection, Hyperedge) -- see arbs_type_registry.json for the complete table.</t>
        </is>
      </c>
      <c r="C10" s="24" t="inlineStr">
        <is>
          <t>DERIVED / VERIFIED (complete taxonomy recovered with color/direction/semantics for each type, rows 2064-2073)</t>
        </is>
      </c>
    </row>
    <row r="11">
      <c r="A11" s="24" t="inlineStr">
        <is>
          <t>Dependency</t>
        </is>
      </c>
      <c r="B11" s="24" t="inlineStr">
        <is>
          <t>The primary edge type: 'A -&gt; B: B uses or requires A. Standard dependency. The primary structure of the spine.' This IS the prec relation used throughout the project's MDCL (Gamma prec ARBS prec G prec L prec ...).</t>
        </is>
      </c>
      <c r="C11" s="24" t="inlineStr">
        <is>
          <t>DERIVED / VERIFIED -- see arbs_dependency_registry.json</t>
        </is>
      </c>
    </row>
    <row r="12">
      <c r="A12" s="24" t="inlineStr">
        <is>
          <t>Hyper-Graph</t>
        </is>
      </c>
      <c r="B12" s="24" t="inlineStr">
        <is>
          <t>Genuine hyperedges of arity &gt;=3 exist: ARBS HYPER-001 canonical form H:(A,B,C)-&gt;D, generalized H_e:(A_1,...,A_k)-&gt;D, with the certified constraint 'Preserves Measure' (consistency with the invariant measure P_ss). G_k, by contrast, is an ordinary graph with only arity-2 (pairwise) edges -- it contains NO hyperedges at all.</t>
        </is>
      </c>
      <c r="C12" s="24" t="inlineStr">
        <is>
          <t>DERIVED / VERIFIED (definition + certified property recovered, rows 1972-1978) -- see arbs_hypergraph.json</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SOURCE SEARCH</t>
        </is>
      </c>
    </row>
    <row r="2">
      <c r="A2" s="22" t="inlineStr"/>
    </row>
    <row r="5">
      <c r="A5" s="30" t="inlineStr">
        <is>
          <t>Location</t>
        </is>
      </c>
    </row>
    <row r="6" ht="60" customHeight="1">
      <c r="A6" s="24" t="inlineStr">
        <is>
          <t>UOC_ToE_Canonical_Theory_of_Everything_Master_v1.0.xlsx, sheet 54_SOURCE_TEXT_CORPUS, rows 1924-2088 ('III. ARBS Hyper-Graph Architecture', part of a document describing the 'Universal Persistence Graph')</t>
        </is>
      </c>
    </row>
    <row r="8">
      <c r="A8" s="30" t="inlineStr">
        <is>
          <t>Definition (verbatim)</t>
        </is>
      </c>
    </row>
    <row r="9" ht="60" customHeight="1">
      <c r="A9" s="24" t="inlineStr">
        <is>
          <t>'The Abelian Recursive Bipartite Shell Typed Dependency Hyper-Graph (ARBS) is the organizational substrate in which the canonical spine operates. It has four structural properties that together define it uniquely: Abelian operator composition within shells, recursive self-similar construction, bipartite separation of objects and operators, and typed dependency edges.'</t>
        </is>
      </c>
    </row>
    <row r="11">
      <c r="A11" s="30" t="inlineStr">
        <is>
          <t>Node taxonomy (verbatim)</t>
        </is>
      </c>
    </row>
    <row r="12" ht="50" customHeight="1">
      <c r="A12" s="24" t="inlineStr">
        <is>
          <t>'The ARBS graph is bipartite: every node is either an Object Node (states/entities) or an Operator Node (maps/functions). Edges connect object nodes to operator nodes only -- never object-to-object or operator-to-operator directly.'</t>
        </is>
      </c>
    </row>
    <row r="14">
      <c r="A14" s="30" t="inlineStr">
        <is>
          <t>Shell taxonomy (verbatim)</t>
        </is>
      </c>
    </row>
    <row r="15" ht="50" customHeight="1">
      <c r="A15" s="24" t="inlineStr">
        <is>
          <t>'The shell index k assigns each node to an organizational layer. The ARBS graph has 8 shell layers (k=0 through 7), each representing a qualitatively distinct level of organizational complexity.'</t>
        </is>
      </c>
    </row>
  </sheetData>
  <mergeCells count="4">
    <mergeCell ref="A6:F6"/>
    <mergeCell ref="A15:F15"/>
    <mergeCell ref="A12:F12"/>
    <mergeCell ref="A9:F9"/>
  </mergeCell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0" customWidth="1" min="1" max="1"/>
    <col width="130" customWidth="1" min="2" max="2"/>
  </cols>
  <sheetData>
    <row r="1">
      <c r="A1" s="21" t="inlineStr">
        <is>
          <t>PROVENANCE AUDIT</t>
        </is>
      </c>
    </row>
    <row r="2">
      <c r="A2" s="22" t="inlineStr"/>
    </row>
    <row r="5">
      <c r="A5" s="30" t="inlineStr">
        <is>
          <t>Critical observation</t>
        </is>
      </c>
    </row>
    <row r="6" ht="140" customHeight="1">
      <c r="A6" s="24" t="inlineStr">
        <is>
          <t>ARBS's 'shell index k' indexes STAGES OF THE PROJECT'S OWN DERIVATION PIPELINE (the same Gamma &lt; ARBS &lt; G &lt; L &lt; Spec(L) &lt; ... &lt; Pi_0 &lt; G* canonical dependency chain referenced throughout every run of this project) -- it is NOT a combinatorial graph-construction recursion depth. The ENTIRE graph object 'G=(V,E,W)' occupies exactly ONE node (shell k=1) of the ARBS hypergraph; there is no source-supported notion of 'G_0, G_1, G_2, ...' as sub-shells of ARBS's own shell structure. This is a direct naming collision (the word 'shell' and the letter 'k' used for two conceptually unrelated indices) that appears to be the root cause of the identification tested throughout runs 2-9.</t>
        </is>
      </c>
    </row>
    <row r="8">
      <c r="A8" s="23" t="inlineStr">
        <is>
          <t>Shell (k)</t>
        </is>
      </c>
      <c r="B8" s="23" t="inlineStr">
        <is>
          <t>Layer name / primary objects / content</t>
        </is>
      </c>
    </row>
    <row r="9">
      <c r="A9" s="24" t="inlineStr">
        <is>
          <t>k=0</t>
        </is>
      </c>
      <c r="B9" s="24" t="inlineStr">
        <is>
          <t>Primitives -- Omega, Delta -- recursive distinction, the origin point; no geometry, no graph, no dynamics</t>
        </is>
      </c>
    </row>
    <row r="10">
      <c r="A10" s="24" t="inlineStr">
        <is>
          <t>k=1</t>
        </is>
      </c>
      <c r="B10" s="24" t="inlineStr">
        <is>
          <t>Discrete Organization -- G=(V,E,W), V_i, E_ij -- 'The organizational graph. Entities, relations, and weights. The structural fact.'</t>
        </is>
      </c>
    </row>
    <row r="11">
      <c r="A11" s="24" t="inlineStr">
        <is>
          <t>k=2</t>
        </is>
      </c>
      <c r="B11" s="24" t="inlineStr">
        <is>
          <t>Spectral / Analytical -- L, Spec(L), H(t), delta_spec -- Graph Laplacian and spectral decomposition</t>
        </is>
      </c>
    </row>
    <row r="12">
      <c r="A12" s="24" t="inlineStr">
        <is>
          <t>k=3</t>
        </is>
      </c>
      <c r="B12" s="24" t="inlineStr">
        <is>
          <t>Continuum Geometry -- g_mu_nu, Gamma, Delta_M, R^a_bcd, R_ab, G_ab -- emergent Riemannian geometry</t>
        </is>
      </c>
    </row>
    <row r="13">
      <c r="A13" s="24" t="inlineStr">
        <is>
          <t>k=4</t>
        </is>
      </c>
      <c r="B13" s="24" t="inlineStr">
        <is>
          <t>Dynamics / Probabilistic -- L (script), L* (script), T_e, F[P||P_ss] -- Fokker-Planck dynamics</t>
        </is>
      </c>
    </row>
    <row r="14">
      <c r="A14" s="24" t="inlineStr">
        <is>
          <t>k=5</t>
        </is>
      </c>
      <c r="B14" s="24" t="inlineStr">
        <is>
          <t>Thermodynamic / Info -- P_ss, T_ab, div T_ab, sigma -- stationary measure, entropy production</t>
        </is>
      </c>
    </row>
    <row r="15">
      <c r="A15" s="24" t="inlineStr">
        <is>
          <t>k=6</t>
        </is>
      </c>
      <c r="B15" s="24" t="inlineStr">
        <is>
          <t>Persistence -- Pi_0, lambda_FP -- the organizational invariant</t>
        </is>
      </c>
    </row>
    <row r="16">
      <c r="A16" s="24" t="inlineStr">
        <is>
          <t>k=7</t>
        </is>
      </c>
      <c r="B16" s="24" t="inlineStr">
        <is>
          <t>Emergent Structures -- Life, Chemistry, Mind, Planets, Stars, Galaxies, Cosmic Web</t>
        </is>
      </c>
    </row>
  </sheetData>
  <mergeCells count="1">
    <mergeCell ref="A6:F6"/>
  </mergeCell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130" customWidth="1" min="1" max="1"/>
  </cols>
  <sheetData>
    <row r="1">
      <c r="A1" s="21" t="inlineStr">
        <is>
          <t>THM-ARBS-ABELIAN-001</t>
        </is>
      </c>
    </row>
    <row r="2">
      <c r="A2" s="22" t="inlineStr"/>
    </row>
    <row r="5">
      <c r="A5" s="30" t="inlineStr">
        <is>
          <t>Exact definition</t>
        </is>
      </c>
    </row>
    <row r="6" ht="60" customHeight="1">
      <c r="A6" s="24" t="inlineStr">
        <is>
          <t>A o B = B o A when A and B act on independent subspaces or shells, i.e. [A,B] = AB-BA = 0 (source: row 1934). Explicitly a LOCAL/regional property, not global.</t>
        </is>
      </c>
    </row>
    <row r="8">
      <c r="A8" s="23" t="inlineStr">
        <is>
          <t>Abelian region examples (source)</t>
        </is>
      </c>
    </row>
    <row r="9">
      <c r="A9" s="24" t="inlineStr">
        <is>
          <t>Heat semigroup e^{-tL} (operator powers commute)</t>
        </is>
      </c>
    </row>
    <row r="10">
      <c r="A10" s="24" t="inlineStr">
        <is>
          <t>Laplacian powers L^k (all commute: L^aL^b=L^{a+b})</t>
        </is>
      </c>
    </row>
    <row r="11">
      <c r="A11" s="24" t="inlineStr">
        <is>
          <t>Spectral projections P_lambda (orthogonal, pairwise commuting)</t>
        </is>
      </c>
    </row>
    <row r="12">
      <c r="A12" s="24" t="inlineStr">
        <is>
          <t>Diffusion operators on independent shells</t>
        </is>
      </c>
    </row>
    <row r="13">
      <c r="A13" s="24" t="inlineStr">
        <is>
          <t>Within-shell operator composition A.B=B.A</t>
        </is>
      </c>
    </row>
    <row r="15">
      <c r="A15" s="23" t="inlineStr">
        <is>
          <t>Non-Abelian region examples (source)</t>
        </is>
      </c>
    </row>
    <row r="16">
      <c r="A16" s="24" t="inlineStr">
        <is>
          <t>Nonlinear dynamics (replicator, nonlinear Fokker-Planck)</t>
        </is>
      </c>
    </row>
    <row r="17">
      <c r="A17" s="24" t="inlineStr">
        <is>
          <t>Time-dependent constraints (non-stationary problems)</t>
        </is>
      </c>
    </row>
    <row r="18">
      <c r="A18" s="24" t="inlineStr">
        <is>
          <t>External forcing (inhomogeneous Fokker-Planck)</t>
        </is>
      </c>
    </row>
    <row r="19">
      <c r="A19" s="24" t="inlineStr">
        <is>
          <t>Non-self-adjoint operators (open quantum systems)</t>
        </is>
      </c>
    </row>
    <row r="20">
      <c r="A20" s="24" t="inlineStr">
        <is>
          <t>Cross-shell interaction where order matters</t>
        </is>
      </c>
    </row>
    <row r="22">
      <c r="A22" s="30" t="inlineStr">
        <is>
          <t>Proof for the stated operator families</t>
        </is>
      </c>
    </row>
    <row r="23" ht="70" customHeight="1">
      <c r="A23" s="24" t="inlineStr">
        <is>
          <t>TRIVIALLY TRUE as elementary functional calculus: for ANY fixed symmetric operator L, any two functions of L (e.g. e^{-t1L}, e^{-t2L}, L^a, L^b, spectral projections P_lambda1, P_lambda2) commute with each other, since they share the same eigenbasis. This is a standard, general fact -- verified trivially for the L_k already computed throughout runs 2-9 (any two of e^{-tL_k}, L_k^a, P_lambda are simultaneously diagonalized by L_k's own eigenbasis, hence commute).</t>
        </is>
      </c>
    </row>
    <row r="25">
      <c r="A25" s="30" t="inlineStr">
        <is>
          <t>Status</t>
        </is>
      </c>
    </row>
    <row r="26" ht="60" customHeight="1">
      <c r="A26" s="24" t="inlineStr">
        <is>
          <t>DERIVED / VERIFIED for the stated linear-operator-family instances (a standard, general mathematical fact, not ARBS-specific); the BROADER architectural claim that ARBS's hypergraph 'divides into Abelian and non-Abelian REGIONS' (i.e. that this property partitions actual nodes/shells of the hypergraph itself, not just characterizes which operator families commute) is a qualitative organizing principle, not itself reduced to a checkable theorem anywhere in source -- recorded as OPEN at that level.</t>
        </is>
      </c>
    </row>
  </sheetData>
  <mergeCells count="3">
    <mergeCell ref="A26:F26"/>
    <mergeCell ref="A6:F6"/>
    <mergeCell ref="A23:F23"/>
  </mergeCell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THM-ARBS-RECURSION-001</t>
        </is>
      </c>
    </row>
    <row r="2">
      <c r="A2" s="22" t="inlineStr"/>
    </row>
    <row r="5">
      <c r="A5" s="30" t="inlineStr">
        <is>
          <t>Exact mechanism recovered</t>
        </is>
      </c>
    </row>
    <row r="6" ht="90" customHeight="1">
      <c r="A6" s="24" t="inlineStr">
        <is>
          <t>FEEDBACK, not growth. 'The ARBS graph is self-referential through a recursion schema that feeds the output Pi_0 back into the input Omega... the persistence functional Pi_0 at the k=6 layer feeds back to constrain the organizational graph G at k=1, which modifies L, which modifies Spec(L), which modifies Pi_0. This recursive feedback loop is what makes the ARBS graph an organizational equilibrium rather than a one-shot derivation. Organizational structures persist because they satisfy the fixed-point condition: Pi_0[G*] is maximized.' (rows 1980-1983)</t>
        </is>
      </c>
    </row>
    <row r="8">
      <c r="A8" s="30" t="inlineStr">
        <is>
          <t>Distinction from G_k's construction</t>
        </is>
      </c>
    </row>
    <row r="9" ht="70" customHeight="1">
      <c r="A9" s="24" t="inlineStr">
        <is>
          <t>G_k's recursion (S_k=L_k(+)R_k, |L_k|=|R_k|=2^k, new shells ADDED at each step, N_k -&gt; infinity) is a GRAPH-GROWTH process. ARBS's recursion is a FEEDBACK/FIXED-POINT process over a FIXED 8-node shell structure. These are different mathematical operations sharing only the word 'recursive'.</t>
        </is>
      </c>
    </row>
    <row r="11">
      <c r="A11" s="30" t="inlineStr">
        <is>
          <t>Status</t>
        </is>
      </c>
    </row>
    <row r="12" ht="40" customHeight="1">
      <c r="A12" s="24" t="inlineStr">
        <is>
          <t>DERIVED / VERIFIED (the feedback mechanism is explicitly documented) -- but this is NOT the mechanism realized by G_k's construction, which remains a self-contained, differently-motivated recursion.</t>
        </is>
      </c>
    </row>
  </sheetData>
  <mergeCells count="3">
    <mergeCell ref="A6:F6"/>
    <mergeCell ref="A12:F12"/>
    <mergeCell ref="A9:F9"/>
  </mergeCell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THM-ARBS-BIPARTITE-001</t>
        </is>
      </c>
    </row>
    <row r="2">
      <c r="A2" s="22" t="inlineStr"/>
    </row>
    <row r="5">
      <c r="A5" s="30" t="inlineStr">
        <is>
          <t>ARBS bipartition</t>
        </is>
      </c>
    </row>
    <row r="6" ht="40" customHeight="1">
      <c r="A6" s="24" t="inlineStr">
        <is>
          <t>Object Node vs Operator Node -- a SEMANTIC type bipartition of what mathematical role a node plays (state vs. transformation).</t>
        </is>
      </c>
    </row>
    <row r="8">
      <c r="A8" s="30" t="inlineStr">
        <is>
          <t>G_k bipartition</t>
        </is>
      </c>
    </row>
    <row r="9" ht="40" customHeight="1">
      <c r="A9" s="24" t="inlineStr">
        <is>
          <t>L_j vs R_j -- a purely STRUCTURAL halving of each shell's vertex set, with no semantic role attached to either half.</t>
        </is>
      </c>
    </row>
    <row r="11">
      <c r="A11" s="30" t="inlineStr">
        <is>
          <t>Conclusion</t>
        </is>
      </c>
    </row>
    <row r="12" ht="50" customHeight="1">
      <c r="A12" s="24" t="inlineStr">
        <is>
          <t>These are different bipartitions of different kinds. G_k's L/R split has never been shown, and is not claimed by any source document, to correspond to ARBS's Object/Operator split.</t>
        </is>
      </c>
    </row>
  </sheetData>
  <mergeCells count="3">
    <mergeCell ref="A6:F6"/>
    <mergeCell ref="A12:F12"/>
    <mergeCell ref="A9:F9"/>
  </mergeCell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THM-ARBS-SHELL-001</t>
        </is>
      </c>
    </row>
    <row r="2">
      <c r="A2" s="22" t="inlineStr"/>
    </row>
    <row r="5">
      <c r="A5" s="30" t="inlineStr">
        <is>
          <t>ARBS shell meaning</t>
        </is>
      </c>
    </row>
    <row r="6" ht="40" customHeight="1">
      <c r="A6" s="24" t="inlineStr">
        <is>
          <t>8 FIXED organizational/physical-scale layers (k=0 Primitives through k=7 Emergent Structures) -- see full table, sheet 146.</t>
        </is>
      </c>
    </row>
    <row r="8">
      <c r="A8" s="30" t="inlineStr">
        <is>
          <t>G_k shell meaning</t>
        </is>
      </c>
    </row>
    <row r="9" ht="40" customHeight="1">
      <c r="A9" s="24" t="inlineStr">
        <is>
          <t>Combinatorial recursion depth of the bipartite-shell graph construction, UNBOUNDED (k=0,1,2,...,9,10,... as computed throughout this project).</t>
        </is>
      </c>
    </row>
    <row r="11">
      <c r="A11" s="30" t="inlineStr">
        <is>
          <t>K_{2^k,2^k} canonicality</t>
        </is>
      </c>
    </row>
    <row r="12" ht="40" customHeight="1">
      <c r="A12" s="24" t="inlineStr">
        <is>
          <t>NOT source-supported as part of ARBS's own definition -- never mentioned in the ARBS Hyper-Graph Architecture section.</t>
        </is>
      </c>
    </row>
    <row r="14">
      <c r="A14" s="30" t="inlineStr">
        <is>
          <t>Status</t>
        </is>
      </c>
    </row>
    <row r="15" ht="40" customHeight="1">
      <c r="A15" s="24" t="inlineStr">
        <is>
          <t>PROVEN INCOMPATIBLE as literal identification of shell indices; G_k's 'shell' is a naming collision with ARBS's 'shell', not the same object.</t>
        </is>
      </c>
    </row>
  </sheetData>
  <mergeCells count="4">
    <mergeCell ref="A6:F6"/>
    <mergeCell ref="A15:F15"/>
    <mergeCell ref="A12:F12"/>
    <mergeCell ref="A9:F9"/>
  </mergeCell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22" customWidth="1" min="1" max="1"/>
    <col width="18" customWidth="1" min="2" max="2"/>
    <col width="14" customWidth="1" min="3" max="3"/>
    <col width="70" customWidth="1" min="4" max="4"/>
  </cols>
  <sheetData>
    <row r="1">
      <c r="A1" s="21" t="inlineStr">
        <is>
          <t>ARBS TYPE SYSTEM</t>
        </is>
      </c>
    </row>
    <row r="2">
      <c r="A2" s="22" t="inlineStr"/>
    </row>
    <row r="5">
      <c r="A5" s="23" t="inlineStr">
        <is>
          <t>Edge type</t>
        </is>
      </c>
      <c r="B5" s="23" t="inlineStr">
        <is>
          <t>Color (poster)</t>
        </is>
      </c>
      <c r="C5" s="23" t="inlineStr">
        <is>
          <t>Direction</t>
        </is>
      </c>
      <c r="D5" s="23" t="inlineStr">
        <is>
          <t>Semantic meaning</t>
        </is>
      </c>
    </row>
    <row r="6">
      <c r="A6" s="24" t="inlineStr">
        <is>
          <t>Dependency</t>
        </is>
      </c>
      <c r="B6" s="24" t="inlineStr">
        <is>
          <t>Green solid</t>
        </is>
      </c>
      <c r="C6" s="24" t="inlineStr">
        <is>
          <t>A -&gt; B</t>
        </is>
      </c>
      <c r="D6" s="24" t="inlineStr">
        <is>
          <t>B uses or requires A. Standard dependency. The primary structure of the spine.</t>
        </is>
      </c>
    </row>
    <row r="7">
      <c r="A7" s="24" t="inlineStr">
        <is>
          <t>Creates / Generates</t>
        </is>
      </c>
      <c r="B7" s="24" t="inlineStr">
        <is>
          <t>Red solid</t>
        </is>
      </c>
      <c r="C7" s="24" t="inlineStr">
        <is>
          <t>A -&gt; B</t>
        </is>
      </c>
      <c r="D7" s="24" t="inlineStr">
        <is>
          <t>A creates B. Stronger than dependency -- B would not exist without A.</t>
        </is>
      </c>
    </row>
    <row r="8">
      <c r="A8" s="24" t="inlineStr">
        <is>
          <t>Transforms</t>
        </is>
      </c>
      <c r="B8" s="24" t="inlineStr">
        <is>
          <t>Orange solid</t>
        </is>
      </c>
      <c r="C8" s="24" t="inlineStr">
        <is>
          <t>A -&gt; B</t>
        </is>
      </c>
      <c r="D8" s="24" t="inlineStr">
        <is>
          <t>A is transformed into B by an operator.</t>
        </is>
      </c>
    </row>
    <row r="9">
      <c r="A9" s="24" t="inlineStr">
        <is>
          <t>Constrains</t>
        </is>
      </c>
      <c r="B9" s="24" t="inlineStr">
        <is>
          <t>Green solid (dark)</t>
        </is>
      </c>
      <c r="C9" s="24" t="inlineStr">
        <is>
          <t>A - B</t>
        </is>
      </c>
      <c r="D9" s="24" t="inlineStr">
        <is>
          <t>A places a constraint on B. Bidirectional restriction.</t>
        </is>
      </c>
    </row>
    <row r="10">
      <c r="A10" s="24" t="inlineStr">
        <is>
          <t>Measures / Spectral</t>
        </is>
      </c>
      <c r="B10" s="24" t="inlineStr">
        <is>
          <t>Teal / Purple</t>
        </is>
      </c>
      <c r="C10" s="24" t="inlineStr">
        <is>
          <t>A -&gt; B</t>
        </is>
      </c>
      <c r="D10" s="24" t="inlineStr">
        <is>
          <t>A measures or decomposes B spectrally.</t>
        </is>
      </c>
    </row>
    <row r="11">
      <c r="A11" s="24" t="inlineStr">
        <is>
          <t>Mapping / Functor</t>
        </is>
      </c>
      <c r="B11" s="24" t="inlineStr">
        <is>
          <t>Blue solid</t>
        </is>
      </c>
      <c r="C11" s="24" t="inlineStr">
        <is>
          <t>A -&gt; B</t>
        </is>
      </c>
      <c r="D11" s="24" t="inlineStr">
        <is>
          <t>A maps to B via a functor. Used for bridge theorems.</t>
        </is>
      </c>
    </row>
    <row r="12">
      <c r="A12" s="24" t="inlineStr">
        <is>
          <t>Feedback (Recursive)</t>
        </is>
      </c>
      <c r="B12" s="24" t="inlineStr">
        <is>
          <t>Purple dashed</t>
        </is>
      </c>
      <c r="C12" s="24" t="inlineStr">
        <is>
          <t>A &lt;-hook- B</t>
        </is>
      </c>
      <c r="D12" s="24" t="inlineStr">
        <is>
          <t>Recursive feedback. Omega feeds back into itself; Pi_0 feeds back into G.</t>
        </is>
      </c>
    </row>
    <row r="13">
      <c r="A13" s="24" t="inlineStr">
        <is>
          <t>Projection</t>
        </is>
      </c>
      <c r="B13" s="24" t="inlineStr">
        <is>
          <t>Dashed gray</t>
        </is>
      </c>
      <c r="C13" s="24" t="inlineStr">
        <is>
          <t>A --&gt; B</t>
        </is>
      </c>
      <c r="D13" s="24" t="inlineStr">
        <is>
          <t>A projects or coarse-grains to B. Macro &lt;- Micro.</t>
        </is>
      </c>
    </row>
    <row r="14">
      <c r="A14" s="24" t="inlineStr">
        <is>
          <t>Hyperedge</t>
        </is>
      </c>
      <c r="B14" s="24" t="inlineStr">
        <is>
          <t>Diamond</t>
        </is>
      </c>
      <c r="C14" s="24" t="inlineStr">
        <is>
          <t>(A,B,C) -&gt; D</t>
        </is>
      </c>
      <c r="D14" s="24" t="inlineStr">
        <is>
          <t>Many-to-one dependency. H: (A,B,C)-&gt;D with arity 3. Constraint: Preserves Measure.</t>
        </is>
      </c>
    </row>
    <row r="15">
      <c r="A15" s="30" t="inlineStr">
        <is>
          <t>Node types</t>
        </is>
      </c>
    </row>
    <row r="16" ht="40" customHeight="1">
      <c r="A16" s="24" t="inlineStr">
        <is>
          <t>states/entities (e.g. G, L, Spec(L), g_mu_nu, P_ss, sigma, Pi_0 -- example tags found: 'sigma | Object (k=5-&gt;6)', 'Pi_0 | Object (k=6-&gt;7)') | maps/functions (e.g. the bridge theorems B-001..B-008, T_e=e^{tL}, F'[P] -- example tags found: 'T_e=e^{tL} | Operator (k=4)', "F'[P] | Operator (k=5)")</t>
        </is>
      </c>
    </row>
    <row r="18">
      <c r="A18" s="30" t="inlineStr">
        <is>
          <t>Comparison to G_k</t>
        </is>
      </c>
    </row>
    <row r="19" ht="50" customHeight="1">
      <c r="A19" s="24" t="inlineStr">
        <is>
          <t>G_k has ZERO of ARBS's 2 node types and ZERO of ARBS's 9 edge types realized in any form. If G_k is to be understood as a realization of ARBS, the entire typed structure is lost/uninstantiated -- this is a severe, not incidental, structural gap.</t>
        </is>
      </c>
    </row>
    <row r="21">
      <c r="A21" s="30" t="inlineStr">
        <is>
          <t>Status</t>
        </is>
      </c>
    </row>
    <row r="22" ht="40" customHeight="1">
      <c r="A22" s="24" t="inlineStr">
        <is>
          <t>TYPE SYSTEM: DERIVED / VERIFIED for ARBS (fully documented in source). TYPE PRESERVATION BY G_k: FALSIFIED -- G_k realizes none of ARBS's documented type structure.</t>
        </is>
      </c>
    </row>
  </sheetData>
  <mergeCells count="3">
    <mergeCell ref="A19:F19"/>
    <mergeCell ref="A16:F16"/>
    <mergeCell ref="A22:F22"/>
  </mergeCell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00" customWidth="1" min="1" max="1"/>
    <col width="20" customWidth="1" min="2" max="2"/>
  </cols>
  <sheetData>
    <row r="1">
      <c r="A1" s="21" t="inlineStr">
        <is>
          <t>THM-ARBS-DEPENDENCY-001</t>
        </is>
      </c>
    </row>
    <row r="2">
      <c r="A2" s="22" t="inlineStr"/>
    </row>
    <row r="5">
      <c r="A5" s="30" t="inlineStr">
        <is>
          <t>Recovered relation</t>
        </is>
      </c>
    </row>
    <row r="6" ht="50" customHeight="1">
      <c r="A6" s="24" t="inlineStr">
        <is>
          <t>The ARBS 'Dependency' edge type (A -&gt; B: 'B uses or requires A') IS the prec relation used throughout this entire project's MDCL / canonical dependency chain (Gamma prec ARBS prec G prec L prec Spec(L) prec ... prec Pi_0 prec G*).</t>
        </is>
      </c>
    </row>
    <row r="8">
      <c r="A8" s="23" t="inlineStr">
        <is>
          <t>Axiom</t>
        </is>
      </c>
      <c r="B8" s="23" t="inlineStr">
        <is>
          <t>Status</t>
        </is>
      </c>
    </row>
    <row r="9">
      <c r="A9" s="24" t="inlineStr">
        <is>
          <t>SDR-001: prec is defined on D x D (definitional)</t>
        </is>
      </c>
      <c r="B9" s="24" t="inlineStr">
        <is>
          <t>CERTIFIED</t>
        </is>
      </c>
    </row>
    <row r="10">
      <c r="A10" s="24" t="inlineStr">
        <is>
          <t>SDR-002: Irreflexivity</t>
        </is>
      </c>
      <c r="B10" s="24" t="inlineStr">
        <is>
          <t>CERTIFIED</t>
        </is>
      </c>
    </row>
    <row r="11">
      <c r="A11" s="24" t="inlineStr">
        <is>
          <t>SDR-003: Transitivity</t>
        </is>
      </c>
      <c r="B11" s="24" t="inlineStr">
        <is>
          <t>CERTIFIED</t>
        </is>
      </c>
    </row>
    <row r="12">
      <c r="A12" s="24" t="inlineStr">
        <is>
          <t>SDR-004: Acyclicity</t>
        </is>
      </c>
      <c r="B12" s="24" t="inlineStr">
        <is>
          <t>CERTIFIED</t>
        </is>
      </c>
    </row>
    <row r="13">
      <c r="A13" s="24" t="inlineStr">
        <is>
          <t>SDR-005: Recovery admissibility</t>
        </is>
      </c>
      <c r="B13" s="24" t="inlineStr">
        <is>
          <t>CERTIFIED</t>
        </is>
      </c>
    </row>
    <row r="14">
      <c r="A14" s="30" t="inlineStr">
        <is>
          <t>Classification</t>
        </is>
      </c>
    </row>
    <row r="15" ht="30" customHeight="1">
      <c r="A15" s="24" t="inlineStr">
        <is>
          <t>A strict partial order (irreflexive, transitive, hence antisymmetric) realized as a DAG -- confirmed structure: 'directed acyclic relation'.</t>
        </is>
      </c>
    </row>
    <row r="17">
      <c r="A17" s="30" t="inlineStr">
        <is>
          <t>Critical distinction from G_k adjacency</t>
        </is>
      </c>
    </row>
    <row r="18" ht="110" customHeight="1">
      <c r="A18" s="24" t="inlineStr">
        <is>
          <t>G_k's edges (A_ij in {0,1}, undirected, symmetric) are NOT dependency edges in ARBS's sense. G_k's adjacency matrix A is symmetric (A_ij=A_ji) by construction -- appropriate for an undirected GRAPH used in spectral graph theory (Laplacian, heat kernel, etc.), but INCOMPATIBLE with a strict partial order / DAG (which must be irreflexive and, critically, ANTISYMMETRIC -- if A_ij=1 then A_ji cannot also independently represent a valid nonzero dependency in the reverse direction under a strict order, though the graph-theoretic A_ij=A_ji=1 pattern is exactly what an undirected edge means). G_k's edges represent GRAPH ADJACENCY (a symmetric, structural relation suited to spectral analysis), not ARBS's DEPENDENCY relation (an asymmetric, strict-order relation suited to derivation sequencing). These are different mathematical objects serving different purposes. This project's own MDCL prec-chain (which IS an ARBS-style dependency DAG, e.g. 'G prec L prec Spec(L) prec ...') is completely separate from, and not realized by, G_k's internal edge structure.</t>
        </is>
      </c>
    </row>
    <row r="20">
      <c r="A20" s="30" t="inlineStr">
        <is>
          <t>Status</t>
        </is>
      </c>
    </row>
    <row r="21" ht="40" customHeight="1">
      <c r="A21" s="24" t="inlineStr">
        <is>
          <t>DERIVED / VERIFIED for the ARBS/MDCL prec relation (fully axiomatized, CERTIFIED). G_k's own edges are PROVEN NOT to be an instance of this relation (structural type mismatch: symmetric adjacency vs. strict partial order).</t>
        </is>
      </c>
    </row>
  </sheetData>
  <mergeCells count="4">
    <mergeCell ref="A21:F21"/>
    <mergeCell ref="A6:F6"/>
    <mergeCell ref="A15:F15"/>
    <mergeCell ref="A18:F18"/>
  </mergeCell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21" t="inlineStr">
        <is>
          <t>THM-ARBS-HYPERGRAPH-001</t>
        </is>
      </c>
    </row>
    <row r="2">
      <c r="A2" s="22" t="inlineStr"/>
    </row>
    <row r="5">
      <c r="A5" s="30" t="inlineStr">
        <is>
          <t>Recovered definition</t>
        </is>
      </c>
    </row>
    <row r="6" ht="50" customHeight="1">
      <c r="A6" s="24" t="inlineStr">
        <is>
          <t>Hyperedge H: (A,B,C) -&gt; D is a dependency with arity 3, meaning D cannot be computed from A alone, B alone, or C alone -- it requires all three jointly. General: H_e : (A_1, A_2, ..., A_k) -&gt; D with arity k</t>
        </is>
      </c>
    </row>
    <row r="8">
      <c r="A8" s="30" t="inlineStr">
        <is>
          <t>Certified property</t>
        </is>
      </c>
    </row>
    <row r="9" ht="30" customHeight="1">
      <c r="A9" s="24" t="inlineStr">
        <is>
          <t>'Preserves Measure' -- the hyperedge must be consistent with the invariant measure P_ss</t>
        </is>
      </c>
    </row>
    <row r="11">
      <c r="A11" s="30" t="inlineStr">
        <is>
          <t>Reduction to pairwise edges?</t>
        </is>
      </c>
    </row>
    <row r="12" ht="90" customHeight="1">
      <c r="A12" s="24" t="inlineStr">
        <is>
          <t>NO reduction is given or claimed anywhere in source. The explicit motivation for hyperedges is that they capture genuinely irreducible multi-input dependencies ('D cannot be computed from A alone, B alone, or C alone') -- the source's own stated point is that this is NOT expressible as a set of pairwise edges without losing information (a hyperedge (A,B,C)-&gt;D is strictly more informative than the three pairwise edges A-&gt;D, B-&gt;D, C-&gt;D, since the latter don't encode the joint-necessity condition).</t>
        </is>
      </c>
    </row>
    <row r="14">
      <c r="A14" s="30" t="inlineStr">
        <is>
          <t>G_k hyperedge content</t>
        </is>
      </c>
    </row>
    <row r="15" ht="30" customHeight="1">
      <c r="A15" s="24" t="inlineStr">
        <is>
          <t>ZERO. Confirmed by construction: build_arbs.py / arbs_light.py construct only pairwise edges (u,v) with u,v single vertices; no data structure for arity&gt;=3 relations exists anywhere in the G_k construction or its exports.</t>
        </is>
      </c>
    </row>
    <row r="17">
      <c r="A17" s="30" t="inlineStr">
        <is>
          <t>Status</t>
        </is>
      </c>
    </row>
    <row r="18" ht="60" customHeight="1">
      <c r="A18" s="24" t="inlineStr">
        <is>
          <t>HYPERGRAPH STRUCTURE: DERIVED / VERIFIED for ARBS (definition + certified property recovered). REALIZATION BY G_k: PROVEN INCOMPATIBLE -- an ordinary graph cannot represent ARBS's hyperedges without loss, and G_k contains none at all, so no realization map G_k=P(ARBS) preserving this structure can exist unless it explicitly discards the hypergraph structure entirely (an admission, not a proof of equivalence).</t>
        </is>
      </c>
    </row>
  </sheetData>
  <mergeCells count="5">
    <mergeCell ref="A9:F9"/>
    <mergeCell ref="A6:F6"/>
    <mergeCell ref="A18:F18"/>
    <mergeCell ref="A12:F12"/>
    <mergeCell ref="A15:F15"/>
  </mergeCell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THE FULL ARBS OBJECT (recovered, not assumed)</t>
        </is>
      </c>
    </row>
    <row r="2">
      <c r="A2" s="22" t="inlineStr"/>
    </row>
    <row r="5" ht="90" customHeight="1">
      <c r="A5" s="24" t="inlineStr">
        <is>
          <t>A_k (better: A, since ARBS's shell structure is FIXED, not indexed by an unbounded k) = (N_obj, N_op, E_typed[9 types], H[hyperedges, arity&gt;=3, Preserves-Measure], tau: N -&gt; {Object,Operator}, shell: N -&gt; {0,...,7}, feedback: Pi_0 -&gt; G). This tuple is assembled ENTIRELY from recovered source components (sheets 144-153); no component was invented or assumed from the acronym alone.</t>
        </is>
      </c>
    </row>
  </sheetData>
  <mergeCells count="1">
    <mergeCell ref="A5:F5"/>
  </mergeCell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6" customWidth="1" min="1" max="1"/>
    <col width="110" customWidth="1" min="2" max="2"/>
  </cols>
  <sheetData>
    <row r="1">
      <c r="A1" s="21" t="inlineStr">
        <is>
          <t>THM-ARBS-REALIZATION-001 -- GRAPH PROJECTION</t>
        </is>
      </c>
    </row>
    <row r="2">
      <c r="A2" s="22" t="inlineStr"/>
    </row>
    <row r="5">
      <c r="A5" s="30" t="inlineStr">
        <is>
          <t>Search result</t>
        </is>
      </c>
    </row>
    <row r="6" ht="90" customHeight="1">
      <c r="A6" s="24" t="inlineStr">
        <is>
          <t>NO source-supported map P_k was found anywhere in the corpus. The ARBS Hyper-Graph Architecture section (rows 1924-2088) never mentions K_{2^k,2^k}, R_{k-1}xL_k, or any construction rule resembling G_k's. The only place G_k's exact construction rule appears verbatim is as DIRECTIVE TEXT supplied mid-conversation in a prior run (labeled 'ARBS-CONSTRUCTION-001'), under the claim that it had been 'recovered from the project source material' -- a claim this run's search (like the original run's own search) does not substantiate.</t>
        </is>
      </c>
    </row>
    <row r="8">
      <c r="A8" s="30" t="inlineStr">
        <is>
          <t>What G_k could legitimately be</t>
        </is>
      </c>
    </row>
    <row r="9" ht="90" customHeight="1">
      <c r="A9" s="24" t="inlineStr">
        <is>
          <t>At most, G_k could be understood as ONE CANDIDATE INSTANCE for the single Object Node 'G=(V,E,W)' that occupies ARBS's shell k=1 (see arbs_ontology_registry.json). But no source material specifies HOW that G should be constructed, nor sanctions indexing multiple candidate G's by an unbounded recursion parameter the way G_0,G_1,...,G_9 have been built throughout this project. There is exactly one 'G' node in ARBS's own architecture, not an infinite family.</t>
        </is>
      </c>
    </row>
    <row r="11">
      <c r="A11" s="23" t="inlineStr">
        <is>
          <t>Map component</t>
        </is>
      </c>
      <c r="B11" s="23" t="inlineStr">
        <is>
          <t>Status</t>
        </is>
      </c>
    </row>
    <row r="12">
      <c r="A12" s="24" t="inlineStr">
        <is>
          <t>P_V</t>
        </is>
      </c>
      <c r="B12" s="24" t="inlineStr">
        <is>
          <t>UNDEFINED -- no map from ARBS's node set (Object nodes + Operator nodes across 8 shells) to G_k's vertex set (2(2^(k+1)-1) bare indices) has ever been specified.</t>
        </is>
      </c>
    </row>
    <row r="13">
      <c r="A13" s="24" t="inlineStr">
        <is>
          <t>P_E</t>
        </is>
      </c>
      <c r="B13" s="24" t="inlineStr">
        <is>
          <t>UNDEFINED -- no map from ARBS's 9 typed edge classes to G_k's single untyped edge class exists.</t>
        </is>
      </c>
    </row>
    <row r="14">
      <c r="A14" s="24" t="inlineStr">
        <is>
          <t>P_H</t>
        </is>
      </c>
      <c r="B14" s="24" t="inlineStr">
        <is>
          <t>UNDEFINED, and PROVABLY CANNOT preserve information -- G_k has no hyperedges to receive the image of any ARBS hyperedge (see arbs_hypergraph.json).</t>
        </is>
      </c>
    </row>
    <row r="15">
      <c r="A15" s="24" t="inlineStr">
        <is>
          <t>P_tau</t>
        </is>
      </c>
      <c r="B15" s="24" t="inlineStr">
        <is>
          <t>UNDEFINED -- G_k's vertices carry no Object/Operator type tag at all.</t>
        </is>
      </c>
    </row>
    <row r="16">
      <c r="A16" s="24" t="inlineStr">
        <is>
          <t>P_prec</t>
        </is>
      </c>
      <c r="B16" s="24" t="inlineStr">
        <is>
          <t>UNDEFINED -- G_k's edges are symmetric graph adjacency, not the asymmetric strict-order Dependency relation ARBS defines (see arbs_dependency_registry.json).</t>
        </is>
      </c>
    </row>
  </sheetData>
  <mergeCells count="2">
    <mergeCell ref="A6:F6"/>
    <mergeCell ref="A9:F9"/>
  </mergeCell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40" customWidth="1" min="1" max="1"/>
  </cols>
  <sheetData>
    <row r="1">
      <c r="A1" s="21" t="inlineStr">
        <is>
          <t>PROJECTION INFORMATION LOSS</t>
        </is>
      </c>
    </row>
    <row r="2">
      <c r="A2" s="22" t="inlineStr">
        <is>
          <t>Since arbs_graph_projection.json establishes that NO projection map P_k has ever been defined or derived (CASE D), this file records what WOULD be lost if one were ever constructed, as a forward-looking diagnostic -- not as a statement about an actual, established loss along a real map.</t>
        </is>
      </c>
    </row>
    <row r="6">
      <c r="A6" s="23" t="inlineStr">
        <is>
          <t>Structure that would be lost (IF a projection existed)</t>
        </is>
      </c>
    </row>
    <row r="7">
      <c r="A7" s="24" t="inlineStr">
        <is>
          <t>Node typing (Object vs Operator) -- collapsed to untyped vertices</t>
        </is>
      </c>
    </row>
    <row r="8">
      <c r="A8" s="24" t="inlineStr">
        <is>
          <t>All 9 edge types (Dependency, Creates, Transforms, Constrains, Measures, Mapping, Feedback, Projection, Hyperedge) -- collapsed to a single undifferentiated adjacency relation</t>
        </is>
      </c>
    </row>
    <row r="9">
      <c r="A9" s="24" t="inlineStr">
        <is>
          <t>Edge directionality/asymmetry (ARBS's Dependency relation is a strict partial order) -- collapsed to symmetric graph adjacency</t>
        </is>
      </c>
    </row>
    <row r="10">
      <c r="A10" s="24" t="inlineStr">
        <is>
          <t>Hyperedges of arity &gt;=3 -- cannot be represented at all in an ordinary graph without an auxiliary incidence structure (e.g. re-expanding to a bipartite incidence graph, which is NOT what G_k is)</t>
        </is>
      </c>
    </row>
    <row r="11">
      <c r="A11" s="24" t="inlineStr">
        <is>
          <t>The fixed 8-shell derivation-stage structure -- replaced by an unbounded recursion index with no stated correspondence to any of the 8 named shells</t>
        </is>
      </c>
    </row>
    <row r="12">
      <c r="A12" s="24" t="inlineStr">
        <is>
          <t>The feedback/fixed-point recursion mechanism (Pi_0 constraining G) -- replaced by a one-directional graph-growth recursion with no feedback</t>
        </is>
      </c>
    </row>
    <row r="13">
      <c r="A13" s="30" t="inlineStr">
        <is>
          <t>Status</t>
        </is>
      </c>
    </row>
    <row r="14" ht="40" customHeight="1">
      <c r="A14" s="24" t="inlineStr">
        <is>
          <t>NOT APPLICABLE -- no projection exists to analyze losses for. Recorded per instruction as an explicit 'the question does not currently have an answerable form' result, not left silently blank.</t>
        </is>
      </c>
    </row>
  </sheetData>
  <mergeCells count="1">
    <mergeCell ref="A14:F14"/>
  </mergeCell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0" customWidth="1" min="1" max="1"/>
    <col width="90" customWidth="1" min="2" max="2"/>
  </cols>
  <sheetData>
    <row r="1">
      <c r="A1" s="21" t="inlineStr">
        <is>
          <t>SPECTRAL PRESERVATION</t>
        </is>
      </c>
    </row>
    <row r="2">
      <c r="A2" s="22" t="inlineStr"/>
    </row>
    <row r="5">
      <c r="A5" s="30" t="inlineStr">
        <is>
          <t>Finding</t>
        </is>
      </c>
    </row>
    <row r="6" ht="130" customHeight="1">
      <c r="A6" s="24" t="inlineStr">
        <is>
          <t>ARBS's shell k=2 ('Spectral / Analytical') lists 'L, Spec(L), H(t), delta_spec' as its Object contents -- but this is just the NEXT node in the 8-stage pipeline, populated by whatever graph occupies shell k=1's 'G' node. ARBS itself defines no 'hypergraph Laplacian' or native spectral operator ACTING ON ITS OWN Object/Operator/hyperedge structure -- shell k=2 simply says 'once you have a G, take its ordinary Laplacian L=D-A and decompose it,' which is BRIDGE B-001 (G-&gt;L, CERTIFIED) and BRIDGE B-002 (L-&gt;Spec(L), CERTIFIED) -- both stated for an ARBITRARY graph G=(V,E,W), not specifically for a graph derived from ARBS's own hypergraph structure.</t>
        </is>
      </c>
    </row>
    <row r="8">
      <c r="A8" s="30" t="inlineStr">
        <is>
          <t>Consequence</t>
        </is>
      </c>
    </row>
    <row r="9" ht="90" customHeight="1">
      <c r="A9" s="24" t="inlineStr">
        <is>
          <t>Spec(L(G_k)) -- the spectrum I have computed, verified, and used throughout runs 1-9 -- is a completely legitimate, CORRECTLY COMPUTED spectrum of the EXPLICIT graph G_k. Bridges B-001 (G-&gt;L) and B-002 (L-&gt;Spec(L)) are CERTIFIED and apply to it exactly as they would to any graph. What is NOT established is that G_k is THE G that ARBS's shell k=1 refers to (see arbs_graph_projection.json, CASE D) -- so while the MECHANICS (G-&gt;L-&gt;Spec(L)) are certified and correctly applied, the SPECIFIC INPUT (G_k) has not been shown to be an ARBS-sanctioned choice.</t>
        </is>
      </c>
    </row>
    <row r="11">
      <c r="A11" s="23" t="inlineStr">
        <is>
          <t>Object</t>
        </is>
      </c>
      <c r="B11" s="23" t="inlineStr">
        <is>
          <t>Status</t>
        </is>
      </c>
    </row>
    <row r="12">
      <c r="A12" s="24" t="inlineStr">
        <is>
          <t>GRAPH_SPECTRUM_VERIFIED</t>
        </is>
      </c>
      <c r="B12" s="24" t="b">
        <v>1</v>
      </c>
    </row>
    <row r="13">
      <c r="A13" s="24" t="inlineStr">
        <is>
          <t>ARBS_SPECTRAL_DERIVATION</t>
        </is>
      </c>
      <c r="B13" s="24" t="inlineStr">
        <is>
          <t>OPEN -- not because the spectral mechanics are in doubt, but because no G has been established as THE canonical ARBS choice at shell k=1 for those certified mechanics to act on</t>
        </is>
      </c>
    </row>
  </sheetData>
  <mergeCells count="2">
    <mergeCell ref="A6:F6"/>
    <mergeCell ref="A9:F9"/>
  </mergeCell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0" customWidth="1" min="1" max="1"/>
    <col width="30" customWidth="1" min="2" max="2"/>
    <col width="30" customWidth="1" min="3" max="3"/>
    <col width="40" customWidth="1" min="4" max="4"/>
    <col width="14" customWidth="1" min="5" max="5"/>
    <col width="12" customWidth="1" min="6" max="6"/>
    <col width="40" customWidth="1" min="7" max="7"/>
  </cols>
  <sheetData>
    <row r="1">
      <c r="A1" s="21" t="inlineStr">
        <is>
          <t>RECLASSIFICATION OF EVERY PRIOR ARBS-LABELED RESULT</t>
        </is>
      </c>
    </row>
    <row r="2">
      <c r="A2" s="22" t="inlineStr">
        <is>
          <t>Every result below remains fully VALID as a fact about the explicit graph G_k. None is retracted, deleted, or numerically altered. Only the ARBS-level INTERPRETATION is corrected: 'this is an ARBS result' becomes 'this is a G_k (explicit bipartite-shell graph) result, not yet shown to be an ARBS consequence.'</t>
        </is>
      </c>
    </row>
    <row r="6">
      <c r="A6" s="23" t="inlineStr">
        <is>
          <t>Result</t>
        </is>
      </c>
      <c r="B6" s="23" t="inlineStr">
        <is>
          <t>Original label</t>
        </is>
      </c>
      <c r="C6" s="23" t="inlineStr">
        <is>
          <t>Correct object</t>
        </is>
      </c>
      <c r="D6" s="23" t="inlineStr">
        <is>
          <t>New status</t>
        </is>
      </c>
      <c r="E6" s="23" t="inlineStr">
        <is>
          <t>Depends on ARBS ontology?</t>
        </is>
      </c>
      <c r="F6" s="23" t="inlineStr">
        <is>
          <t>Remains valid?</t>
        </is>
      </c>
      <c r="G6" s="23" t="inlineStr">
        <is>
          <t>Required proof</t>
        </is>
      </c>
    </row>
    <row r="7">
      <c r="A7" s="24" t="inlineStr">
        <is>
          <t>ARBS-CONSTRUCTION-001</t>
        </is>
      </c>
      <c r="B7" s="24" t="inlineStr">
        <is>
          <t>ARBS graph construction, DERIVED/VERIFIED</t>
        </is>
      </c>
      <c r="C7" s="24" t="inlineStr">
        <is>
          <t>G_k construction (K_{2^k,2^k}, R_{k-1}xL_k)</t>
        </is>
      </c>
      <c r="D7" s="24" t="inlineStr">
        <is>
          <t>DERIVED/VERIFIED FOR G_k; NOT PROVEN AS AN ARBS REALIZATION</t>
        </is>
      </c>
      <c r="E7" s="24" t="b">
        <v>0</v>
      </c>
      <c r="F7" s="24" t="b">
        <v>1</v>
      </c>
      <c r="G7" s="24" t="inlineStr">
        <is>
          <t>Source-supported map ARBS -&gt; G_k (does not currently exist, see arbs_graph_projection.json)</t>
        </is>
      </c>
    </row>
    <row r="8">
      <c r="A8" s="24" t="inlineStr">
        <is>
          <t>ARBS-FULL-SPEC-001</t>
        </is>
      </c>
      <c r="B8" s="24" t="inlineStr">
        <is>
          <t>ARBS spectral reconstruction, DERIVED/VERIFIED</t>
        </is>
      </c>
      <c r="C8" s="24" t="inlineStr">
        <is>
          <t>Spec(L(G_k))</t>
        </is>
      </c>
      <c r="D8" s="24" t="inlineStr">
        <is>
          <t>DERIVED/VERIFIED FOR G_k; ARBS-level interpretation OPEN</t>
        </is>
      </c>
      <c r="E8" s="24" t="b">
        <v>0</v>
      </c>
      <c r="F8" s="24" t="b">
        <v>1</v>
      </c>
      <c r="G8" s="24" t="inlineStr">
        <is>
          <t>Same as above</t>
        </is>
      </c>
    </row>
    <row r="9">
      <c r="A9" s="24" t="inlineStr">
        <is>
          <t>sigma_16, sigma_17 checkpoints (G3)</t>
        </is>
      </c>
      <c r="B9" s="24" t="inlineStr">
        <is>
          <t>ARBS 32-state spectral boundary</t>
        </is>
      </c>
      <c r="C9" s="24" t="inlineStr">
        <is>
          <t>G_3's own Dirac singular-value spectrum</t>
        </is>
      </c>
      <c r="D9" s="24" t="inlineStr">
        <is>
          <t>CALCULATED, exact finite-graph fact; 'ARBS 32-state' interpretation OPEN pending ontology</t>
        </is>
      </c>
      <c r="E9" s="24" t="b">
        <v>0</v>
      </c>
      <c r="F9" s="24" t="b">
        <v>1</v>
      </c>
      <c r="G9" s="24" t="inlineStr">
        <is>
          <t>Same as above</t>
        </is>
      </c>
    </row>
    <row r="10">
      <c r="A10" s="24" t="inlineStr">
        <is>
          <t>t_H, lambda_c (all shells)</t>
        </is>
      </c>
      <c r="B10" s="24" t="inlineStr">
        <is>
          <t>ARBS persistence threshold</t>
        </is>
      </c>
      <c r="C10" s="24" t="inlineStr">
        <is>
          <t>G_k persistence time / threshold via p_A(t)=1/2</t>
        </is>
      </c>
      <c r="D10" s="24" t="inlineStr">
        <is>
          <t>CALCULATED for G_k; unchanged numerically</t>
        </is>
      </c>
      <c r="E10" s="24" t="b">
        <v>0</v>
      </c>
      <c r="F10" s="24" t="b">
        <v>1</v>
      </c>
      <c r="G10" s="24" t="inlineStr">
        <is>
          <t>Same</t>
        </is>
      </c>
    </row>
    <row r="11">
      <c r="A11" s="24" t="inlineStr">
        <is>
          <t>P_H, N_H (C-004B)</t>
        </is>
      </c>
      <c r="B11" s="24" t="inlineStr">
        <is>
          <t>ARBS horizon projector/rank</t>
        </is>
      </c>
      <c r="C11" s="24" t="inlineStr">
        <is>
          <t>G_k horizon projector</t>
        </is>
      </c>
      <c r="D11" s="24" t="inlineStr">
        <is>
          <t>FALSIFIED FOR 32-BOUNDARY COMPATIBILITY, unchanged, now understood as a G_k-level result</t>
        </is>
      </c>
      <c r="E11" s="24" t="b">
        <v>0</v>
      </c>
      <c r="F11" s="24" t="b">
        <v>1</v>
      </c>
      <c r="G11" s="24" t="inlineStr">
        <is>
          <t>Same</t>
        </is>
      </c>
    </row>
    <row r="12">
      <c r="A12" s="24" t="inlineStr">
        <is>
          <t>sigma_k non-identifiability (C-004C)</t>
        </is>
      </c>
      <c r="B12" s="24" t="inlineStr">
        <is>
          <t>ARBS entropy production</t>
        </is>
      </c>
      <c r="C12" s="24" t="inlineStr">
        <is>
          <t>G_k thermodynamic generator's entropy production</t>
        </is>
      </c>
      <c r="D12" s="24" t="inlineStr">
        <is>
          <t>PROVEN NON-IDENTIFIABLE, unchanged, G_k-level</t>
        </is>
      </c>
      <c r="E12" s="24" t="b">
        <v>0</v>
      </c>
      <c r="F12" s="24" t="b">
        <v>1</v>
      </c>
      <c r="G12" s="24" t="inlineStr">
        <is>
          <t>Same</t>
        </is>
      </c>
    </row>
    <row r="13">
      <c r="A13" s="24" t="inlineStr">
        <is>
          <t>Q_k, Q_k* generator reconciliation (C-004D)</t>
        </is>
      </c>
      <c r="B13" s="24" t="inlineStr">
        <is>
          <t>ARBS thermodynamic generator</t>
        </is>
      </c>
      <c r="C13" s="24" t="inlineStr">
        <is>
          <t>G_k's Q_k=-D_k^{-1}L_k</t>
        </is>
      </c>
      <c r="D13" s="24" t="inlineStr">
        <is>
          <t>DERIVED, unchanged, G_k-level</t>
        </is>
      </c>
      <c r="E13" s="24" t="b">
        <v>0</v>
      </c>
      <c r="F13" s="24" t="b">
        <v>1</v>
      </c>
      <c r="G13" s="24" t="inlineStr">
        <is>
          <t>Same</t>
        </is>
      </c>
    </row>
    <row r="14">
      <c r="A14" s="24" t="inlineStr">
        <is>
          <t>Missing continuum map (C-004E)</t>
        </is>
      </c>
      <c r="B14" s="24" t="inlineStr">
        <is>
          <t>ARBS discrete-to-continuum correspondence</t>
        </is>
      </c>
      <c r="C14" s="24" t="inlineStr">
        <is>
          <t>G_k's Q_k -&gt; continuum FP operator</t>
        </is>
      </c>
      <c r="D14" s="24" t="inlineStr">
        <is>
          <t>CLOSED AS MISSING-THEOREM RESULT, unchanged, G_k-level</t>
        </is>
      </c>
      <c r="E14" s="24" t="b">
        <v>0</v>
      </c>
      <c r="F14" s="24" t="b">
        <v>1</v>
      </c>
      <c r="G14" s="24" t="inlineStr">
        <is>
          <t>Same</t>
        </is>
      </c>
    </row>
    <row r="15">
      <c r="A15" s="24" t="inlineStr">
        <is>
          <t>Degree measure / Dirichlet form (C-004F)</t>
        </is>
      </c>
      <c r="B15" s="24" t="inlineStr">
        <is>
          <t>ARBS thermodynamic continuum recovery</t>
        </is>
      </c>
      <c r="C15" s="24" t="inlineStr">
        <is>
          <t>G_k's pi_k, Q_k, E_k</t>
        </is>
      </c>
      <c r="D15" s="24" t="inlineStr">
        <is>
          <t>DERIVED/VERIFIED (F.1-4) and PROVEN NON-CONVERGENT (F.6/7 TV sense), unchanged, G_k-level</t>
        </is>
      </c>
      <c r="E15" s="24" t="b">
        <v>0</v>
      </c>
      <c r="F15" s="24" t="b">
        <v>1</v>
      </c>
      <c r="G15" s="24" t="inlineStr">
        <is>
          <t>Same</t>
        </is>
      </c>
    </row>
    <row r="16">
      <c r="A16" s="24" t="inlineStr">
        <is>
          <t>Edge-length rescaling law incompatibility (C-004G)</t>
        </is>
      </c>
      <c r="B16" s="24" t="inlineStr">
        <is>
          <t>ARBS vs. source refinement law</t>
        </is>
      </c>
      <c r="C16" s="24" t="inlineStr">
        <is>
          <t>G_k vs. the GENERIC (unrelated 'This from That' Part I) refinement functor R</t>
        </is>
      </c>
      <c r="D16" s="24" t="inlineStr">
        <is>
          <t>PROVEN INCOMPATIBLE, unchanged -- NOTE: this incompatibility was already correctly scoped to 'the explicit graph sequence' in C-004G/H's own text, so this reclassification mainly confirms rather than corrects C-004G</t>
        </is>
      </c>
      <c r="E16" s="24" t="b">
        <v>0</v>
      </c>
      <c r="F16" s="24" t="b">
        <v>1</v>
      </c>
      <c r="G16" s="24" t="inlineStr">
        <is>
          <t>N/A -- already correctly scoped</t>
        </is>
      </c>
    </row>
    <row r="17">
      <c r="A17" s="24" t="inlineStr">
        <is>
          <t>Diffusion metric / diameter (C-004H)</t>
        </is>
      </c>
      <c r="B17" s="24" t="inlineStr">
        <is>
          <t>ARBS continuum compatibility</t>
        </is>
      </c>
      <c r="C17" s="24" t="inlineStr">
        <is>
          <t>G_k's diffusion distance d(i,j)=sqrt(R_eff(i,j))</t>
        </is>
      </c>
      <c r="D17" s="24" t="inlineStr">
        <is>
          <t>CONDITIONAL/PROMISING for G_k, unchanged, G_k-level</t>
        </is>
      </c>
      <c r="E17" s="24" t="b">
        <v>0</v>
      </c>
      <c r="F17" s="24" t="b">
        <v>1</v>
      </c>
      <c r="G17" s="24" t="inlineStr">
        <is>
          <t>Same as construction-level proof</t>
        </is>
      </c>
    </row>
    <row r="18">
      <c r="A18" s="24" t="inlineStr">
        <is>
          <t>Wasserstein-1 convergence (C-004I)</t>
        </is>
      </c>
      <c r="B18" s="24" t="inlineStr">
        <is>
          <t>ARBS metric-measure convergence</t>
        </is>
      </c>
      <c r="C18" s="24" t="inlineStr">
        <is>
          <t>G_k's (pi_k, d_diff,k) metric-measure pair</t>
        </is>
      </c>
      <c r="D18" s="24" t="inlineStr">
        <is>
          <t>STRONG NUMERICAL EVIDENCE for G_k, unchanged, G_k-level</t>
        </is>
      </c>
      <c r="E18" s="24" t="b">
        <v>0</v>
      </c>
      <c r="F18" s="24" t="b">
        <v>1</v>
      </c>
      <c r="G18" s="24" t="inlineStr">
        <is>
          <t>Same</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 performed</t>
        </is>
      </c>
    </row>
    <row r="6" ht="50" customHeight="1">
      <c r="A6" s="24" t="inlineStr">
        <is>
          <t>Searched every recovered ARBS definition, type, edge-taxonomy entry, hyperedge rule, and dependency axiom, plus the reclassification table and all case-selection reasoning, for any reference to 32, N_H, H_F, D_F, J_F, gamma_F, Y_u, Y_d, Y_e, Y_nu, V_CKM, U_PMNS, or Xi_obs.</t>
        </is>
      </c>
    </row>
    <row r="8">
      <c r="A8" s="30" t="inlineStr">
        <is>
          <t>Result</t>
        </is>
      </c>
    </row>
    <row r="9" ht="50" customHeight="1">
      <c r="A9" s="24" t="inlineStr">
        <is>
          <t>PASS. None of these appear anywhere in the ARBS ontology as documented in source, nor in any reasoning used this run to reach the CASE D conclusion. In particular: the number 32 does NOT appear anywhere in the ARBS Hyper-Graph Architecture section (rows 1924-2088) -- it is entirely a downstream numerical fact about G_3's own spectrum (already established, run 1-2), unrelated to ARBS's own definition.</t>
        </is>
      </c>
    </row>
    <row r="11">
      <c r="A11" s="30" t="inlineStr">
        <is>
          <t>Construction code check</t>
        </is>
      </c>
    </row>
    <row r="12" ht="30" customHeight="1">
      <c r="A12" s="24" t="inlineStr">
        <is>
          <t>build_arbs.py / arbs_light.py (the G_k construction code) contain no reference to 32 or any downstream target -- reconfirmed this run by inspection; unchanged from prior runs' findings.</t>
        </is>
      </c>
    </row>
  </sheetData>
  <mergeCells count="3">
    <mergeCell ref="A6:F6"/>
    <mergeCell ref="A12:F12"/>
    <mergeCell ref="A9:F9"/>
  </mergeCell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50" customWidth="1" min="1" max="1"/>
    <col width="90" customWidth="1" min="2" max="2"/>
  </cols>
  <sheetData>
    <row r="1">
      <c r="A1" s="21" t="inlineStr">
        <is>
          <t>THEOREM REGISTRY</t>
        </is>
      </c>
    </row>
    <row r="2">
      <c r="A2" s="22" t="inlineStr"/>
    </row>
    <row r="5">
      <c r="A5" s="23" t="inlineStr">
        <is>
          <t>Theorem</t>
        </is>
      </c>
      <c r="B5" s="23" t="inlineStr">
        <is>
          <t>Status</t>
        </is>
      </c>
    </row>
    <row r="6">
      <c r="A6" s="24" t="inlineStr">
        <is>
          <t>THM-ARBS-ONTOLOGY-001 (ARBS = meta-level derivation-pipeline hypergraph)</t>
        </is>
      </c>
      <c r="B6" s="24" t="inlineStr">
        <is>
          <t>DERIVED / VERIFIED (fully documented in source)</t>
        </is>
      </c>
    </row>
    <row r="7">
      <c r="A7" s="24" t="inlineStr">
        <is>
          <t>THM-ARBS-ABELIAN-001</t>
        </is>
      </c>
      <c r="B7" s="24" t="inlineStr">
        <is>
          <t>DERIVED / VERIFIED for the stated linear-operator-family instances (a standard, general mathematical fact, not ARBS-specific); the BROADER architectural claim that ARBS's hypergraph 'divides into Abelian and non-Abelian REGIONS' (i.e. that this property partitions actual nodes/shells of the hypergraph itself, not just characterizes which operator families commute) is a qualitative organizing principle, not itself reduced to a checkable theorem anywhere in source -- recorded as OPEN at that level.</t>
        </is>
      </c>
    </row>
    <row r="8">
      <c r="A8" s="24" t="inlineStr">
        <is>
          <t>THM-ARBS-RECURSION-001</t>
        </is>
      </c>
      <c r="B8" s="24" t="inlineStr">
        <is>
          <t>DERIVED / VERIFIED (the feedback mechanism is explicitly documented) -- but this is NOT the mechanism realized by G_k's construction, which remains a self-contained, differently-motivated recursion.</t>
        </is>
      </c>
    </row>
    <row r="9">
      <c r="A9" s="24" t="inlineStr">
        <is>
          <t>THM-ARBS-BIPARTITE-001</t>
        </is>
      </c>
      <c r="B9" s="24" t="inlineStr">
        <is>
          <t>PROVEN INCOMPATIBLE with G_k's L/R bipartition (different kind of bipartition)</t>
        </is>
      </c>
    </row>
    <row r="10">
      <c r="A10" s="24" t="inlineStr">
        <is>
          <t>THM-ARBS-SHELL-001</t>
        </is>
      </c>
      <c r="B10" s="24" t="inlineStr">
        <is>
          <t>PROVEN INCOMPATIBLE with G_k's shell-index-as-recursion-depth reading</t>
        </is>
      </c>
    </row>
    <row r="11">
      <c r="A11" s="24" t="inlineStr">
        <is>
          <t>THM-ARBS-TYPE-001</t>
        </is>
      </c>
      <c r="B11" s="24" t="inlineStr">
        <is>
          <t>TYPE SYSTEM: DERIVED / VERIFIED for ARBS (fully documented in source). TYPE PRESERVATION BY G_k: FALSIFIED -- G_k realizes none of ARBS's documented type structure.</t>
        </is>
      </c>
    </row>
    <row r="12">
      <c r="A12" s="24" t="inlineStr">
        <is>
          <t>THM-ARBS-DEPENDENCY-001</t>
        </is>
      </c>
      <c r="B12" s="24" t="inlineStr">
        <is>
          <t>DERIVED / VERIFIED for the ARBS/MDCL prec relation (fully axiomatized, CERTIFIED). G_k's own edges are PROVEN NOT to be an instance of this relation (structural type mismatch: symmetric adjacency vs. strict partial order).</t>
        </is>
      </c>
    </row>
    <row r="13">
      <c r="A13" s="24" t="inlineStr">
        <is>
          <t>THM-ARBS-HYPERGRAPH-001</t>
        </is>
      </c>
      <c r="B13" s="24" t="inlineStr">
        <is>
          <t>HYPERGRAPH STRUCTURE: DERIVED / VERIFIED for ARBS (definition + certified property recovered). REALIZATION BY G_k: PROVEN INCOMPATIBLE -- an ordinary graph cannot represent ARBS's hyperedges without loss, and G_k contains none at all, so no realization map G_k=P(ARBS) preserving this structure can exist unless it explicitly discards the hypergraph structure entirely (an admission, not a proof of equivalence).</t>
        </is>
      </c>
    </row>
    <row r="14">
      <c r="A14" s="24" t="inlineStr">
        <is>
          <t>THM-ARBS-REALIZATION-001</t>
        </is>
      </c>
      <c r="B14" s="24" t="inlineStr">
        <is>
          <t>PROVEN: no realization map ARBS-&gt;G_k currently exists or is source-supported (CASE D)</t>
        </is>
      </c>
    </row>
    <row r="15">
      <c r="A15" s="24" t="inlineStr">
        <is>
          <t>THM-ARBS-SPECTRAL-001</t>
        </is>
      </c>
      <c r="B15" s="24" t="inlineStr">
        <is>
          <t>GRAPH_SPECTRUM_VERIFIED=true; ARBS_SPECTRAL_DERIVATION=OPEN</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60" customWidth="1" min="1" max="1"/>
    <col width="90" customWidth="1" min="2" max="2"/>
  </cols>
  <sheetData>
    <row r="1">
      <c r="A1" s="21" t="inlineStr">
        <is>
          <t>FALSIFICATION LEDGER</t>
        </is>
      </c>
    </row>
    <row r="2">
      <c r="A2" s="22" t="inlineStr"/>
    </row>
    <row r="5">
      <c r="A5" s="23" t="inlineStr">
        <is>
          <t>Claim tested</t>
        </is>
      </c>
      <c r="B5" s="23" t="inlineStr">
        <is>
          <t>Result</t>
        </is>
      </c>
    </row>
    <row r="6">
      <c r="A6" s="24" t="inlineStr">
        <is>
          <t>G_k's L_k/R_k bipartition = ARBS's Object/Operator bipartition</t>
        </is>
      </c>
      <c r="B6" s="24" t="inlineStr">
        <is>
          <t>FALSIFIED -- different bipartition kinds (structural vs. semantic)</t>
        </is>
      </c>
    </row>
    <row r="7">
      <c r="A7" s="24" t="inlineStr">
        <is>
          <t>G_k's shell index k = ARBS's shell index k</t>
        </is>
      </c>
      <c r="B7" s="24" t="inlineStr">
        <is>
          <t>FALSIFIED -- ARBS's k indexes 8 fixed derivation stages; G_k's k is an unbounded combinatorial recursion depth</t>
        </is>
      </c>
    </row>
    <row r="8">
      <c r="A8" s="24" t="inlineStr">
        <is>
          <t>G_k's edges = ARBS's Dependency edges</t>
        </is>
      </c>
      <c r="B8" s="24" t="inlineStr">
        <is>
          <t>FALSIFIED -- symmetric graph adjacency vs. asymmetric strict partial order</t>
        </is>
      </c>
    </row>
    <row r="9">
      <c r="A9" s="24" t="inlineStr">
        <is>
          <t>G_k contains ARBS hyperedges</t>
        </is>
      </c>
      <c r="B9" s="24" t="inlineStr">
        <is>
          <t>FALSIFIED -- G_k has zero arity-&gt;=3 relations of any kind</t>
        </is>
      </c>
    </row>
    <row r="10">
      <c r="A10" s="24" t="inlineStr">
        <is>
          <t>K_{2^k,2^k}/R_{k-1}xL_k is documented as ARBS's construction rule</t>
        </is>
      </c>
      <c r="B10" s="24" t="inlineStr">
        <is>
          <t>FALSIFIED (re-confirmed) -- absent from the ARBS Hyper-Graph Architecture section and every other searched location</t>
        </is>
      </c>
    </row>
    <row r="11">
      <c r="A11" s="24" t="inlineStr">
        <is>
          <t>Numeric checkpoint reproduction proves ARBS realization</t>
        </is>
      </c>
      <c r="B11" s="24" t="inlineStr">
        <is>
          <t>REJECTED as a proof method -- explicitly, per this project's own standing principle since run 1</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CORRECTED CANONICAL DEPENDENCY CHAIN</t>
        </is>
      </c>
    </row>
    <row r="2">
      <c r="A2" s="22" t="inlineStr"/>
    </row>
    <row r="5" ht="180" customHeight="1">
      <c r="A5" s="24" t="inlineStr">
        <is>
          <t>Gamma &lt; ARBS [meta-level 8-shell typed dependency hypergraph, feedback-recursive, DOCUMENTED]
         &lt; shell-1 Object Node 'G=(V,E,W)' [UNSPECIFIED which G -- no source-supported construction rule]
         ??? [NO PROVEN MAP] ???
         &lt; G_k [explicit K_{2^k,2^k}/R_{k-1}xL_k bipartite-shell graph -- a self-contained, well-verified graph family, CASE D: reproduces checkpoints, not proven to realize ARBS]
         &lt; B_k &lt; L_k &lt; D_{G_k} &lt; Spec(L_k) &lt; [everything computed in runs 2-9, all VALID as G_k-facts]
The '???' marks the exact location of the still-open dependency: no source-supported construction rule or realization map exists to cross from ARBS's shell-1 Object Node to any specific graph.</t>
        </is>
      </c>
    </row>
  </sheetData>
  <mergeCells count="1">
    <mergeCell ref="A5:F5"/>
  </mergeCell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46" customWidth="1" min="1" max="1"/>
    <col width="100" customWidth="1" min="2" max="2"/>
  </cols>
  <sheetData>
    <row r="1">
      <c r="A1" s="21" t="inlineStr">
        <is>
          <t>CLOSURE MATRIX</t>
        </is>
      </c>
    </row>
    <row r="2">
      <c r="A2" s="22" t="inlineStr"/>
    </row>
    <row r="5">
      <c r="A5" s="23" t="inlineStr">
        <is>
          <t>Object</t>
        </is>
      </c>
      <c r="B5" s="23" t="inlineStr">
        <is>
          <t>Status</t>
        </is>
      </c>
    </row>
    <row r="6">
      <c r="A6" s="24" t="inlineStr">
        <is>
          <t>ARBS ontology (name, structure, taxonomy)</t>
        </is>
      </c>
      <c r="B6" s="24" t="inlineStr">
        <is>
          <t>DERIVED / VERIFIED -- fully documented in source</t>
        </is>
      </c>
    </row>
    <row r="7">
      <c r="A7" s="24" t="inlineStr">
        <is>
          <t>ARBS vs G_k relationship</t>
        </is>
      </c>
      <c r="B7" s="24" t="inlineStr">
        <is>
          <t>CASE D -- G_k reproduces checkpoints but is not a proven ARBS realization</t>
        </is>
      </c>
    </row>
    <row r="8">
      <c r="A8" s="24" t="inlineStr">
        <is>
          <t>Abelian property</t>
        </is>
      </c>
      <c r="B8" s="24" t="inlineStr">
        <is>
          <t>DERIVED / VERIFIED for the stated linear-operator-family instances</t>
        </is>
      </c>
    </row>
    <row r="9">
      <c r="A9" s="24" t="inlineStr">
        <is>
          <t>Recursive (feedback) mechanism</t>
        </is>
      </c>
      <c r="B9" s="24" t="inlineStr">
        <is>
          <t>DERIVED / VERIFIED as documented; NOT the mechanism G_k implements</t>
        </is>
      </c>
    </row>
    <row r="10">
      <c r="A10" s="24" t="inlineStr">
        <is>
          <t>Bipartite (Object/Operator) structure</t>
        </is>
      </c>
      <c r="B10" s="24" t="inlineStr">
        <is>
          <t>DERIVED / VERIFIED for ARBS; PROVEN INCOMPATIBLE with G_k's L/R split</t>
        </is>
      </c>
    </row>
    <row r="11">
      <c r="A11" s="24" t="inlineStr">
        <is>
          <t>Shell (8-layer) structure</t>
        </is>
      </c>
      <c r="B11" s="24" t="inlineStr">
        <is>
          <t>DERIVED / VERIFIED for ARBS; PROVEN INCOMPATIBLE with G_k's recursion-depth reading</t>
        </is>
      </c>
    </row>
    <row r="12">
      <c r="A12" s="24" t="inlineStr">
        <is>
          <t>Typed edges/nodes</t>
        </is>
      </c>
      <c r="B12" s="24" t="inlineStr">
        <is>
          <t>DERIVED / VERIFIED for ARBS; FALSIFIED as realized by G_k (zero types present)</t>
        </is>
      </c>
    </row>
    <row r="13">
      <c r="A13" s="24" t="inlineStr">
        <is>
          <t>Dependency relation</t>
        </is>
      </c>
      <c r="B13" s="24" t="inlineStr">
        <is>
          <t>DERIVED / VERIFIED for ARBS; PROVEN NOT realized by G_k's adjacency</t>
        </is>
      </c>
    </row>
    <row r="14">
      <c r="A14" s="24" t="inlineStr">
        <is>
          <t>Hypergraph structure</t>
        </is>
      </c>
      <c r="B14" s="24" t="inlineStr">
        <is>
          <t>DERIVED / VERIFIED for ARBS; PROVEN INCOMPATIBLE with G_k (no hyperedges)</t>
        </is>
      </c>
    </row>
    <row r="15">
      <c r="A15" s="24" t="inlineStr">
        <is>
          <t>Graph realization map ARBS-&gt;G_k</t>
        </is>
      </c>
      <c r="B15" s="24" t="inlineStr">
        <is>
          <t>DOES NOT EXIST -- no source support found</t>
        </is>
      </c>
    </row>
    <row r="16">
      <c r="A16" s="24" t="inlineStr">
        <is>
          <t>All runs 1-9 numerical results</t>
        </is>
      </c>
      <c r="B16" s="24" t="inlineStr">
        <is>
          <t>REMAIN VALID as G_k-level facts (see reclassification table, sheet 158)</t>
        </is>
      </c>
    </row>
    <row r="17">
      <c r="A17" s="24" t="inlineStr">
        <is>
          <t>sigma_k, Pi_0, G*, NCG, flavor, scale</t>
        </is>
      </c>
      <c r="B17" s="24" t="inlineStr">
        <is>
          <t>UNTOUCHED, per stop condition</t>
        </is>
      </c>
    </row>
    <row r="18">
      <c r="A18" s="24" t="inlineStr">
        <is>
          <t>PACKET-REFINEMENT-RECOVERY-001</t>
        </is>
      </c>
      <c r="B18" s="24" t="inlineStr">
        <is>
          <t>NOT ACTIVATED -- not required by this run's findings</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20" customHeight="1">
      <c r="A4" s="29" t="inlineStr">
        <is>
          <t>Recover or derive, from admissible source material only, a construction rule or realization map for the SINGLE Object Node 'G=(V,E,W)' that occupies ARBS's shell k=1 -- i.e., determine what specific graph (if any is ever specified beyond the abstract symbol G) the documented ARBS architecture actually intends there, OR formally establish, with genuine source support (not checkpoint reproduction and not directive text asserting recovery), that the K_{2^k,2^k}/R_{k-1}xL_k construction (G_k) is an admissible or canonical choice for that node. Until this exists, every downstream numerical result computed throughout this project (runs 1-9, all preserved and valid) remains correctly interpreted as a G_k-level fact only, not as a conclusion about the ARBS object documented in source. This is the exact point at which the entire multi-run derivation chain currently terminates.</t>
        </is>
      </c>
    </row>
  </sheetData>
  <mergeCells count="1">
    <mergeCell ref="A4:F4"/>
  </mergeCell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ARBS-GRAPH-REALIZATION-001</t>
        </is>
      </c>
    </row>
    <row r="2">
      <c r="A2" s="22" t="inlineStr">
        <is>
          <t>G_ARBS = canonical shell-1 graph. tilde_G_k = previously reconstructed numerical family. NEVER conflated below.</t>
        </is>
      </c>
    </row>
    <row r="5">
      <c r="A5" s="30" t="inlineStr">
        <is>
          <t>Bottom line</t>
        </is>
      </c>
    </row>
    <row r="6" ht="90" customHeight="1">
      <c r="A6" s="24" t="inlineStr">
        <is>
          <t>V, E, W are defined ONLY abstractly/semantically (V=entities/states, E=relations, W=relation-strengths) everywhere they appear. No concrete vertex set, edge set, or weight function is ever given. The one formal structure recovered (Graph_ARBS, row 1450) is explicitly a CATEGORY of admissible graphs constrained by two axioms (TH-ARBS-001A bipartite-reciprocity-lock, TH-ARBS-001B shell-nilpotency-lock) -- it does not select a unique member.</t>
        </is>
      </c>
    </row>
    <row r="8">
      <c r="A8" s="30" t="inlineStr">
        <is>
          <t>Stop condition triggered</t>
        </is>
      </c>
    </row>
    <row r="9" ht="50" customHeight="1">
      <c r="A9" s="24" t="inlineStr">
        <is>
          <t>Section 22's explicit stop condition: 'If G_ARBS cannot be uniquely reconstructed because the source only specifies G=(V,E,W) abstractly without defining V,E,W, then STOP.'</t>
        </is>
      </c>
    </row>
  </sheetData>
  <mergeCells count="2">
    <mergeCell ref="A6:F6"/>
    <mergeCell ref="A9:F9"/>
  </mergeCell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0" customWidth="1" min="1" max="1"/>
    <col width="60" customWidth="1" min="2" max="2"/>
    <col width="50" customWidth="1" min="3" max="3"/>
  </cols>
  <sheetData>
    <row r="1">
      <c r="A1" s="21" t="inlineStr">
        <is>
          <t>EVERY OCCURRENCE OF G=(V,E,W) FOUND IN SOURCE</t>
        </is>
      </c>
    </row>
    <row r="2">
      <c r="A2" s="22" t="inlineStr"/>
    </row>
    <row r="5">
      <c r="A5" s="23" t="inlineStr">
        <is>
          <t>Location</t>
        </is>
      </c>
      <c r="B5" s="23" t="inlineStr">
        <is>
          <t>Text (verbatim/paraphrase)</t>
        </is>
      </c>
      <c r="C5" s="23" t="inlineStr">
        <is>
          <t>Nature</t>
        </is>
      </c>
    </row>
    <row r="6">
      <c r="A6" s="24" t="inlineStr">
        <is>
          <t>row 1915 (whitepaper text corpus)</t>
        </is>
      </c>
      <c r="B6" s="24" t="inlineStr">
        <is>
          <t>'The full chain: Omega -&gt; Delta -&gt; G=(V,E,W) -&gt; L=D-A -&gt; Spec(L) -&gt; H(t)=e^{-tL} -&gt; g_mu_nu -&gt; L*,L* -&gt; P_ss -&gt; sigma -&gt; Pi_0'</t>
        </is>
      </c>
      <c r="C6" s="24" t="inlineStr">
        <is>
          <t>Abstract pipeline notation -- G is a placeholder stage, not constructed here.</t>
        </is>
      </c>
    </row>
    <row r="7">
      <c r="A7" s="24" t="inlineStr">
        <is>
          <t>row 1938, BRIDGE B-001 (CERTIFIED)</t>
        </is>
      </c>
      <c r="B7" s="24" t="inlineStr">
        <is>
          <t>'Given G=(V,E,W), the Laplacian L=D-A is uniquely defined, symmetric, and positive semi-definite.'</t>
        </is>
      </c>
      <c r="C7" s="24" t="inlineStr">
        <is>
          <t>Conditional/general statement -- takes G as ALREADY GIVEN. Proves a property of L given ANY G; does not construct G.</t>
        </is>
      </c>
    </row>
    <row r="8">
      <c r="A8" s="24" t="inlineStr">
        <is>
          <t>row 2008 / 2049 / 2097 (Variable Registry, multiple copies)</t>
        </is>
      </c>
      <c r="B8" s="24" t="inlineStr">
        <is>
          <t>'G=(V,E,W) | Organizational Graph | Vertices V=entities/states; edges E=relations; weights W=relation strengths. A_ij=w_ij (i!=j); G encodes the structural fact that distinctions co-exist and relate.'</t>
        </is>
      </c>
      <c r="C8" s="24" t="inlineStr">
        <is>
          <t>Generic schema/definition of what V, E, W MEAN semantically (entities, relations, relation-strengths) -- NOT a concrete instantiation. No specific vertex list, edge list, or weight formula given.</t>
        </is>
      </c>
    </row>
    <row r="9">
      <c r="A9" s="24" t="inlineStr">
        <is>
          <t>row 1450, UCG Specification v5, RF-001 category definition</t>
        </is>
      </c>
      <c r="B9" s="24" t="inlineStr">
        <is>
          <t>'Graph_ARBS | Finite typed weighted hypergraphs G=(V,E,W,sigma) satisfying TH-ARBS-001A and TH-ARBS-001B'</t>
        </is>
      </c>
      <c r="C9" s="24" t="inlineStr">
        <is>
          <t>Defines a CATEGORY (the class of all admissible graphs satisfying two axioms), not a single canonical member. This is the closest thing to a formal specification found, and it is explicitly a category, not a graph.</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THM-ARBS-GRAPH-VERTEX-001</t>
        </is>
      </c>
    </row>
    <row r="2">
      <c r="A2" s="22" t="inlineStr"/>
    </row>
    <row r="5">
      <c r="A5" s="30" t="inlineStr">
        <is>
          <t>Recovered</t>
        </is>
      </c>
    </row>
    <row r="6" ht="40" customHeight="1">
      <c r="A6" s="24" t="inlineStr">
        <is>
          <t>V = entities/states (semantic definition only). No concrete vertex list, count, or generation rule given anywhere.</t>
        </is>
      </c>
    </row>
    <row r="8">
      <c r="A8" s="30" t="inlineStr">
        <is>
          <t>Status</t>
        </is>
      </c>
    </row>
    <row r="9" ht="30" customHeight="1">
      <c r="A9" s="24" t="inlineStr">
        <is>
          <t>OPEN -- semantic role recovered; concrete instantiation NOT source-supported.</t>
        </is>
      </c>
    </row>
  </sheetData>
  <mergeCells count="2">
    <mergeCell ref="A6:F6"/>
    <mergeCell ref="A9:F9"/>
  </mergeCell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THM-ARBS-GRAPH-EDGE-001</t>
        </is>
      </c>
    </row>
    <row r="2">
      <c r="A2" s="22" t="inlineStr"/>
    </row>
    <row r="5">
      <c r="A5" s="30" t="inlineStr">
        <is>
          <t>Recovered</t>
        </is>
      </c>
    </row>
    <row r="6" ht="50" customHeight="1">
      <c r="A6" s="24" t="inlineStr">
        <is>
          <t>E = relations (semantic definition only). A_ij=w_ij (i!=j) given as a GENERIC formula relating weights to an adjacency-like matrix, not a construction of E itself. No concrete edge list or generation rule given.</t>
        </is>
      </c>
    </row>
    <row r="8">
      <c r="A8" s="30" t="inlineStr">
        <is>
          <t>Status</t>
        </is>
      </c>
    </row>
    <row r="9" ht="30" customHeight="1">
      <c r="A9" s="24" t="inlineStr">
        <is>
          <t>OPEN -- semantic role recovered; concrete instantiation NOT source-supported.</t>
        </is>
      </c>
    </row>
  </sheetData>
  <mergeCells count="2">
    <mergeCell ref="A6:F6"/>
    <mergeCell ref="A9:F9"/>
  </mergeCell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THM-ARBS-GRAPH-WEIGHT-001</t>
        </is>
      </c>
    </row>
    <row r="2">
      <c r="A2" s="22" t="inlineStr"/>
    </row>
    <row r="5">
      <c r="A5" s="30" t="inlineStr">
        <is>
          <t>Recovered</t>
        </is>
      </c>
    </row>
    <row r="6" ht="40" customHeight="1">
      <c r="A6" s="24" t="inlineStr">
        <is>
          <t>W = relation strengths (semantic definition only). No concrete weight formula, normalization, or value range given anywhere in source.</t>
        </is>
      </c>
    </row>
    <row r="8">
      <c r="A8" s="30" t="inlineStr">
        <is>
          <t>Status</t>
        </is>
      </c>
    </row>
    <row r="9" ht="30" customHeight="1">
      <c r="A9" s="24" t="inlineStr">
        <is>
          <t>OPEN -- semantic role recovered; concrete instantiation NOT source-supported.</t>
        </is>
      </c>
    </row>
  </sheetData>
  <mergeCells count="2">
    <mergeCell ref="A6:F6"/>
    <mergeCell ref="A9:F9"/>
  </mergeCell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THM-ARBS-GRAPH-BIPARTITE-001</t>
        </is>
      </c>
    </row>
    <row r="2">
      <c r="A2" s="22" t="inlineStr"/>
    </row>
    <row r="5">
      <c r="A5" s="30" t="inlineStr">
        <is>
          <t>TH-ARBS-001A (Bipartite Reciprocity Lock)</t>
        </is>
      </c>
    </row>
    <row r="6" ht="40" customHeight="1">
      <c r="A6" s="24" t="inlineStr">
        <is>
          <t>The vertex set splits as V=V_0 union V_1 with edges only crossing between partitions.</t>
        </is>
      </c>
    </row>
    <row r="8">
      <c r="A8" s="30" t="inlineStr">
        <is>
          <t>Test against tilde_G_k</t>
        </is>
      </c>
    </row>
    <row r="9" ht="60" customHeight="1">
      <c r="A9" s="24" t="inlineStr">
        <is>
          <t>SATISFIED -- verified in run 2 (workbook v1.1, sheet 57/checks) and re-confirmed structurally this run: the global partition V_0=union_k L_k, V_1=union_k R_k is a valid 2-coloring for every edge in tilde_G_k (both intra-shell K_{2^k,2^k} edges and inter-shell R_{k-1}xL_k edges cross between V_0 and V_1, never within).</t>
        </is>
      </c>
    </row>
    <row r="11">
      <c r="A11" s="30" t="inlineStr">
        <is>
          <t>Status</t>
        </is>
      </c>
    </row>
    <row r="12" ht="30" customHeight="1">
      <c r="A12" s="24" t="inlineStr">
        <is>
          <t>PASS</t>
        </is>
      </c>
    </row>
  </sheetData>
  <mergeCells count="3">
    <mergeCell ref="A6:F6"/>
    <mergeCell ref="A12:F12"/>
    <mergeCell ref="A9:F9"/>
  </mergeCell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THM-ARBS-GRAPH-DEPENDENCY-001</t>
        </is>
      </c>
    </row>
    <row r="2">
      <c r="A2" s="22" t="inlineStr"/>
    </row>
    <row r="5">
      <c r="A5" s="30" t="inlineStr">
        <is>
          <t>TH-ARBS-001B (Shell Nilpotency Lock)</t>
        </is>
      </c>
    </row>
    <row r="6" ht="50" customHeight="1">
      <c r="A6" s="24" t="inlineStr">
        <is>
          <t>The directed transport matrix N satisfies N^m=0 for some finite m. Shell indices are monotonically ordered; back-directed loops across shells are excluded.</t>
        </is>
      </c>
    </row>
    <row r="8">
      <c r="A8" s="30" t="inlineStr">
        <is>
          <t>Test performed</t>
        </is>
      </c>
    </row>
    <row r="9" ht="60" customHeight="1">
      <c r="A9" s="24" t="inlineStr">
        <is>
          <t>Oriented every edge of tilde_G_k from its lower canonical vertex index to its higher index (consistent with the construction order: vertices are added shell-by-shell, L_k before R_k, in increasing k) and tested nilpotency of the resulting directed adjacency matrix N.</t>
        </is>
      </c>
    </row>
    <row r="11">
      <c r="A11" s="30" t="inlineStr">
        <is>
          <t>Numeric result</t>
        </is>
      </c>
    </row>
    <row r="12" ht="50" customHeight="1">
      <c r="A12" s="24" t="inlineStr">
        <is>
          <t>N is nilpotent for every tested shell: nilpotency index m = 1,3,5,7,9,11 for G0,G1,G2,G3,G4,G5 respectively (= diam(G_n)+... consistent with the graph's layered/graded structure -- a standard fact for any DAG-oriented layered graph).</t>
        </is>
      </c>
    </row>
    <row r="14">
      <c r="A14" s="30" t="inlineStr">
        <is>
          <t>Status</t>
        </is>
      </c>
    </row>
    <row r="15" ht="30" customHeight="1">
      <c r="A15" s="24" t="inlineStr">
        <is>
          <t>PASS</t>
        </is>
      </c>
    </row>
  </sheetData>
  <mergeCells count="4">
    <mergeCell ref="A6:F6"/>
    <mergeCell ref="A15:F15"/>
    <mergeCell ref="A12:F12"/>
    <mergeCell ref="A9:F9"/>
  </mergeCell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THM-ARBS-GRAPH-HYPERGRAPH-001</t>
        </is>
      </c>
    </row>
    <row r="2">
      <c r="A2" s="22" t="inlineStr"/>
    </row>
    <row r="5">
      <c r="A5" s="30" t="inlineStr">
        <is>
          <t>Finding</t>
        </is>
      </c>
    </row>
    <row r="6" ht="70" customHeight="1">
      <c r="A6" s="24" t="inlineStr">
        <is>
          <t>No map P_G: H_ARBS -&gt; G_ARBS is defined anywhere (consistent with ARBS-ONTOLOGY-RECOVERY-001's finding that no ARBS-&gt;tilde_G_k map exists at all). The hypergraph-to-graph relation remains entirely unspecified.</t>
        </is>
      </c>
    </row>
    <row r="8">
      <c r="A8" s="30" t="inlineStr">
        <is>
          <t>Status</t>
        </is>
      </c>
    </row>
    <row r="9" ht="30" customHeight="1">
      <c r="A9" s="24" t="inlineStr">
        <is>
          <t>OPEN</t>
        </is>
      </c>
    </row>
  </sheetData>
  <mergeCells count="2">
    <mergeCell ref="A6:F6"/>
    <mergeCell ref="A9:F9"/>
  </mergeCell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CANONICAL GRAPH RECOVERY -- OBSTRUCTION</t>
        </is>
      </c>
    </row>
    <row r="2">
      <c r="A2" s="22" t="inlineStr"/>
    </row>
    <row r="5">
      <c r="A5" s="30" t="inlineStr">
        <is>
          <t>Conclusion</t>
        </is>
      </c>
    </row>
    <row r="6" ht="90" customHeight="1">
      <c r="A6" s="24" t="inlineStr">
        <is>
          <t>V, E, W are defined ONLY abstractly/semantically (V=entities/states, E=relations, W=relation-strengths) everywhere they appear. No concrete vertex set, edge set, or weight function is ever given. The one formal structure recovered (Graph_ARBS, row 1450) is explicitly a CATEGORY of admissible graphs constrained by two axioms (TH-ARBS-001A bipartite-reciprocity-lock, TH-ARBS-001B shell-nilpotency-lock) -- it does not select a unique member.</t>
        </is>
      </c>
    </row>
    <row r="8">
      <c r="A8" s="30" t="inlineStr">
        <is>
          <t>Category found (not a unique graph)</t>
        </is>
      </c>
    </row>
    <row r="9" ht="50" customHeight="1">
      <c r="A9" s="24" t="inlineStr">
        <is>
          <t>'Graph_ARBS | Finite typed weighted hypergraphs G=(V,E,W,sigma) satisfying TH-ARBS-001A and TH-ARBS-001B'</t>
        </is>
      </c>
    </row>
    <row r="11">
      <c r="A11" s="30" t="inlineStr">
        <is>
          <t>Artifacts NOT produced</t>
        </is>
      </c>
    </row>
    <row r="12" ht="50" customHeight="1">
      <c r="A12" s="24" t="inlineStr">
        <is>
          <t>Per the stop condition, no arbs_canonical_vertices.csv / arbs_canonical_edges.csv / arbs_canonical_weights.csv / arbs_canonical_adjacency.npy / arbs_canonical_laplacian.npy are produced -- there is no concrete G_ARBS to export. This omission is explicit, not silent.</t>
        </is>
      </c>
    </row>
  </sheetData>
  <mergeCells count="3">
    <mergeCell ref="A6:F6"/>
    <mergeCell ref="A12:F12"/>
    <mergeCell ref="A9:F9"/>
  </mergeCell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21" t="inlineStr">
        <is>
          <t>CANONICAL ADJACENCY -- NOT APPLICABLE</t>
        </is>
      </c>
    </row>
    <row r="2">
      <c r="A2" s="22" t="inlineStr">
        <is>
          <t>No G_ARBS exists to construct an adjacency matrix from. See sheet 173.</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THM-ARBS-GRAPH-LAPLACIAN-001</t>
        </is>
      </c>
    </row>
    <row r="2">
      <c r="A2" s="22" t="inlineStr"/>
    </row>
    <row r="5">
      <c r="A5" s="30" t="inlineStr">
        <is>
          <t>Finding</t>
        </is>
      </c>
    </row>
    <row r="6" ht="110" customHeight="1">
      <c r="A6" s="24" t="inlineStr">
        <is>
          <t>BRIDGE B-001 states L=D-A is the Laplacian 'given G=(V,E,W)' -- a general fact about ANY graph with this schema, not a claim that ARBS defines a special hypergraph-native operator. No L_ARBS distinct from the standard L=D-A construction was found. This is consistent with (not evidence against) tilde_L_k=D_k-A_k remaining the correct operator FOR tilde_G_k specifically -- but does not establish tilde_L_k = L_ARBS since G_ARBS itself is unresolved.</t>
        </is>
      </c>
    </row>
    <row r="8">
      <c r="A8" s="30" t="inlineStr">
        <is>
          <t>Status</t>
        </is>
      </c>
    </row>
    <row r="9" ht="50" customHeight="1">
      <c r="A9" s="24" t="inlineStr">
        <is>
          <t>L=D-A is the certified GENERAL formula (BRIDGE B-001); no ARBS-specific alternative found; applicability to a specific G_ARBS remains OPEN pending sheet 173's obstruction.</t>
        </is>
      </c>
    </row>
  </sheetData>
  <mergeCells count="2">
    <mergeCell ref="A6:F6"/>
    <mergeCell ref="A9:F9"/>
  </mergeCell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STRUCTURAL COMPARISON: ADMISSIBILITY, NOT IDENTITY</t>
        </is>
      </c>
    </row>
    <row r="2">
      <c r="A2" s="22" t="inlineStr">
        <is>
          <t>Since G_ARBS itself cannot be uniquely reconstructed (arbs_canonical_graph.json), a full structural isomorphism test against tilde_G_k is not possible. What CAN be tested is whether tilde_G_k is an ADMISSIBLE member of the Graph_ARBS category, i.e. whether it satisfies the two concrete axioms TH-ARBS-001A and TH-ARBS-001B. This is a necessary-condition test, not a uniqueness/identity proof.</t>
        </is>
      </c>
    </row>
    <row r="5">
      <c r="A5" s="30" t="inlineStr">
        <is>
          <t>Conclusion on admissibility</t>
        </is>
      </c>
    </row>
    <row r="6" ht="120" customHeight="1">
      <c r="A6" s="24" t="inlineStr">
        <is>
          <t>tilde_G_k SATISFIES BOTH concrete ARBS admissibility axioms, for every tested shell. It is therefore a legitimate member of the Graph_ARBS category as formally defined (row 1450) -- NOT an arbitrary, unrelated graph. This is meaningfully more than nothing: it is real, positive, checkable evidence of compatibility. It is NOT, however, evidence of uniqueness or identity -- the axioms define an entire category of admissible graphs (in principle including many non-isomorphic members), and satisfying two necessary conditions does not select tilde_G_k as THE canonical choice.</t>
        </is>
      </c>
    </row>
  </sheetData>
  <mergeCells count="1">
    <mergeCell ref="A6:F6"/>
  </mergeCell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60" customWidth="1" min="2" max="2"/>
  </cols>
  <sheetData>
    <row r="1">
      <c r="A1" s="21" t="inlineStr">
        <is>
          <t>STRUCTURAL INVARIANTS TESTED</t>
        </is>
      </c>
    </row>
    <row r="2">
      <c r="A2" s="22" t="inlineStr"/>
    </row>
    <row r="5">
      <c r="A5" s="23" t="inlineStr">
        <is>
          <t>Invariant</t>
        </is>
      </c>
      <c r="B5" s="23" t="inlineStr">
        <is>
          <t>tilde_G_k result</t>
        </is>
      </c>
    </row>
    <row r="6">
      <c r="A6" s="24" t="inlineStr">
        <is>
          <t>Global bipartite 2-coloring (TH-ARBS-001A)</t>
        </is>
      </c>
      <c r="B6" s="24" t="inlineStr">
        <is>
          <t>SATISFIED, all tested shells</t>
        </is>
      </c>
    </row>
    <row r="7">
      <c r="A7" s="24" t="inlineStr">
        <is>
          <t>Directed nilpotency under construction-order orientation (TH-ARBS-001B)</t>
        </is>
      </c>
      <c r="B7" s="24" t="inlineStr">
        <is>
          <t>SATISFIED, nilpotency index = 2k+1 for G_k</t>
        </is>
      </c>
    </row>
    <row r="8">
      <c r="A8" s="24" t="inlineStr">
        <is>
          <t>Hyperedges (arity&gt;=3)</t>
        </is>
      </c>
      <c r="B8" s="24" t="inlineStr">
        <is>
          <t>NONE present (G_k is a simple graph)</t>
        </is>
      </c>
    </row>
    <row r="9">
      <c r="A9" s="24" t="inlineStr">
        <is>
          <t>Node/edge typing</t>
        </is>
      </c>
      <c r="B9" s="24" t="inlineStr">
        <is>
          <t>NONE present (G_k is untyped)</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21" t="inlineStr">
        <is>
          <t>SPECTRAL COMPARISON -- NOT ATTEMPTED</t>
        </is>
      </c>
    </row>
    <row r="2">
      <c r="A2" s="22" t="inlineStr">
        <is>
          <t>Per the governing proof order (structure before spectrum), and since no G_ARBS/L_ARBS exists to compute a spectrum from, no Spec(L_ARBS) vs Spec(tilde_L_k) comparison is performed this run. All spectral facts about tilde_G_k established in runs 1-9 stand, unchanged, as tilde_G_k-level results.</t>
        </is>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140" customWidth="1" min="1" max="1"/>
    <col width="100" customWidth="1" min="2" max="2"/>
  </cols>
  <sheetData>
    <row r="1">
      <c r="A1" s="21" t="inlineStr">
        <is>
          <t>ARBS-CHECKPOINT-ORIGIN-001</t>
        </is>
      </c>
    </row>
    <row r="2">
      <c r="A2" s="22" t="inlineStr"/>
    </row>
    <row r="5">
      <c r="A5" s="23" t="inlineStr">
        <is>
          <t>Option</t>
        </is>
      </c>
      <c r="B5" s="23" t="inlineStr">
        <is>
          <t>Description</t>
        </is>
      </c>
    </row>
    <row r="6">
      <c r="A6" s="24" t="inlineStr">
        <is>
          <t>A</t>
        </is>
      </c>
      <c r="B6" s="24" t="inlineStr">
        <is>
          <t>It is actually the canonical graph.</t>
        </is>
      </c>
    </row>
    <row r="7">
      <c r="A7" s="24" t="inlineStr">
        <is>
          <t>B</t>
        </is>
      </c>
      <c r="B7" s="24" t="inlineStr">
        <is>
          <t>It is a canonical realization.</t>
        </is>
      </c>
    </row>
    <row r="8">
      <c r="A8" s="24" t="inlineStr">
        <is>
          <t>C</t>
        </is>
      </c>
      <c r="B8" s="24" t="inlineStr">
        <is>
          <t>It is a quotient/representation preserving the relevant spectral operator.</t>
        </is>
      </c>
    </row>
    <row r="9">
      <c r="A9" s="24" t="inlineStr">
        <is>
          <t>D</t>
        </is>
      </c>
      <c r="B9" s="24" t="inlineStr">
        <is>
          <t>It is an independently constructed graph that happens to reproduce checkpoints.</t>
        </is>
      </c>
    </row>
    <row r="10">
      <c r="A10" s="24" t="inlineStr">
        <is>
          <t>E</t>
        </is>
      </c>
      <c r="B10" s="24" t="inlineStr">
        <is>
          <t>The checkpoints themselves originated from a different construction.</t>
        </is>
      </c>
    </row>
    <row r="11">
      <c r="A11" s="23" t="inlineStr">
        <is>
          <t>Evidence</t>
        </is>
      </c>
    </row>
    <row r="12">
      <c r="A12" s="24" t="inlineStr">
        <is>
          <t>G_ARBS cannot be uniquely reconstructed from source (arbs_canonical_graph.json) -- rules out A and B outright, since both require a known canonical object to be equal to or realized by tilde_G_k.</t>
        </is>
      </c>
    </row>
    <row r="13">
      <c r="A13" s="24" t="inlineStr">
        <is>
          <t>No quotient/projection map from any hypergraph structure to tilde_G_k has ever been defined or attempted (ARBS-ONTOLOGY-RECOVERY-001, arbs_graph_projection.json) -- rules out C.</t>
        </is>
      </c>
    </row>
    <row r="14">
      <c r="A14" s="24" t="inlineStr">
        <is>
          <t>The construction rule (K_{2^k,2^k}, R_{k-1}xL_k) was supplied as directive text in a prior run under the claim it had been 'recovered from source material' -- but exhaustive search (that run, and this one) never located it anywhere in the ARBS architecture documentation or elsewhere in the corpus.</t>
        </is>
      </c>
    </row>
    <row r="15">
      <c r="A15" s="24" t="inlineStr">
        <is>
          <t>The checkpoint VALUES (sigma16=2.828427124746192, sigma17=2.849152618684595, t_H values, etc.) were already present in the v1.0 master workbook (session run 1) BEFORE any graph construction was supplied or computed -- i.e. the numbers predate, in this project's own history, the specific K_{2^k,2^k} rule that was later supplied to reproduce them.</t>
        </is>
      </c>
    </row>
    <row r="16">
      <c r="A16" s="24" t="inlineStr">
        <is>
          <t>When independently implemented from the bare combinatorial rules alone (run 2, no checkpoint values used in the construction code), tilde_G_k's spectrum reproduced all 8 independent checkpoint values to double-precision accuracy (~1e-13) -- this is a genuine, strong, unforced numerical match, not circular.</t>
        </is>
      </c>
    </row>
    <row r="17">
      <c r="A17" s="24" t="inlineStr">
        <is>
          <t>tilde_G_k independently satisfies BOTH of ARBS's own concrete admissibility axioms (arbs_graph_comparison.json) -- not proof of identity, but rules out 'arbitrary, unrelated graph' as a full description.</t>
        </is>
      </c>
    </row>
    <row r="18">
      <c r="A18" s="30" t="inlineStr">
        <is>
          <t>Assessment</t>
        </is>
      </c>
    </row>
    <row r="19" ht="140" customHeight="1">
      <c r="A19" s="24" t="inlineStr">
        <is>
          <t>Best-supported answer: A BLEND OF D AND E, more precisely characterized than either alone. The checkpoint VALUES (sigma16, sigma17, t_H, etc.) appear to have an origin independent of, and prior to, the specific K_{2^k,2^k}/R_{k-1}xL_k construction rule -- consistent with E (a different, unrecovered original construction or computation produced these numbers). The construction rule that was later supplied and tested (tilde_G_k) is an INDEPENDENTLY-MOTIVATED graph family, not derived from ARBS's own abstract G=(V,E,W) schema, that happens to reproduce those numbers to high numerical precision AND independently satisfies ARBS's two admissibility axioms -- consistent with D, but a stronger/more specific version of D than 'coincidence,' since the reproduction is exact to 8 independent checkpoints and the admissibility is a genuine structural match, not merely a spectral fluke.</t>
        </is>
      </c>
    </row>
    <row r="21">
      <c r="A21" s="30" t="inlineStr">
        <is>
          <t>Status</t>
        </is>
      </c>
    </row>
    <row r="22" ht="50" customHeight="1">
      <c r="A22" s="24" t="inlineStr">
        <is>
          <t>CALCULATED / ASSESSED, not provable to certainty from currently available source material -- the true origin of the original checkpoint numbers (prior to this project's own reconstruction work) remains outside what this project's own source corpus documents; it would require project history/session records predating this corpus, which are not available.</t>
        </is>
      </c>
    </row>
  </sheetData>
  <mergeCells count="2">
    <mergeCell ref="A19:F19"/>
    <mergeCell ref="A22:F22"/>
  </mergeCell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PRIOR RESULT RECLASSIFICATION (UPDATE)</t>
        </is>
      </c>
    </row>
    <row r="2">
      <c r="A2" s="22" t="inlineStr">
        <is>
          <t>Unchanged from ARBS-ONTOLOGY-RECOVERY-001's table (workbook sheet 158) -- this run adds no new invalidation, only sharper reasoning for WHY the ARBS-level interpretation remains open (concrete V,E,W obstruction) plus positive admissibility evidence not previously available.</t>
        </is>
      </c>
    </row>
    <row r="5">
      <c r="A5" s="30" t="inlineStr">
        <is>
          <t>Net effect on prior reclassification table</t>
        </is>
      </c>
    </row>
    <row r="6" ht="70" customHeight="1">
      <c r="A6" s="24" t="inlineStr">
        <is>
          <t>All entries in sheet 158 stand as written. New nuance added: tilde_G_k is now known to be an ADMISSIBLE member of the Graph_ARBS category (satisfies TH-ARBS-001A/B), which is stronger evidence of compatibility than run 10 had -- but still short of identity/uniqueness, since G_ARBS itself remains unspecified.</t>
        </is>
      </c>
    </row>
  </sheetData>
  <mergeCells count="1">
    <mergeCell ref="A6:F6"/>
  </mergeCell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Checked</t>
        </is>
      </c>
    </row>
    <row r="6" ht="40" customHeight="1">
      <c r="A6" s="24" t="inlineStr">
        <is>
          <t>G=(V,E,W) occurrences and their context, TH-ARBS-001A/B admissibility test code, nilpotency orientation/test, SIT Delta-&gt;G alternative construction review, checkpoint-origin reasoning</t>
        </is>
      </c>
    </row>
    <row r="8">
      <c r="A8" s="30" t="inlineStr">
        <is>
          <t>Result</t>
        </is>
      </c>
    </row>
    <row r="9" ht="60" customHeight="1">
      <c r="A9" s="24" t="inlineStr">
        <is>
          <t>PASS -- no reference to 32, N_H, Pi_0, G_star, H_F, D_F, J_F, gamma_F, Y_u, Y_d, Y_e, Y_nu, V_CKM, U_PMNS, or Xi_obs anywhere in this run's source recovery, admissibility testing, or reasoning. The number 32 does not appear in G=(V,E,W)'s definition, in TH-ARBS-001A/B, or in the SIT Delta-&gt;G construction. The nilpotency/bipartiteness tests use only the already-verified tilde_G_k adjacency structure (A_k, shell indices), with no downstream target referenced.</t>
        </is>
      </c>
    </row>
  </sheetData>
  <mergeCells count="2">
    <mergeCell ref="A6:F6"/>
    <mergeCell ref="A9:F9"/>
  </mergeCell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2" customWidth="1" min="1" max="1"/>
    <col width="100" customWidth="1" min="2" max="2"/>
  </cols>
  <sheetData>
    <row r="1">
      <c r="A1" s="21" t="inlineStr">
        <is>
          <t>THEOREM REGISTRY</t>
        </is>
      </c>
    </row>
    <row r="2">
      <c r="A2" s="22" t="inlineStr"/>
    </row>
    <row r="5">
      <c r="A5" s="23" t="inlineStr">
        <is>
          <t>Theorem</t>
        </is>
      </c>
      <c r="B5" s="23" t="inlineStr">
        <is>
          <t>Status</t>
        </is>
      </c>
    </row>
    <row r="6">
      <c r="A6" s="24" t="inlineStr">
        <is>
          <t>THM-ARBS-GRAPH-VERTEX-001</t>
        </is>
      </c>
      <c r="B6" s="24" t="inlineStr">
        <is>
          <t>OPEN -- semantic role recovered, concrete V not source-supported</t>
        </is>
      </c>
    </row>
    <row r="7">
      <c r="A7" s="24" t="inlineStr">
        <is>
          <t>THM-ARBS-GRAPH-EDGE-001</t>
        </is>
      </c>
      <c r="B7" s="24" t="inlineStr">
        <is>
          <t>OPEN -- semantic role recovered, concrete E not source-supported</t>
        </is>
      </c>
    </row>
    <row r="8">
      <c r="A8" s="24" t="inlineStr">
        <is>
          <t>THM-ARBS-GRAPH-WEIGHT-001</t>
        </is>
      </c>
      <c r="B8" s="24" t="inlineStr">
        <is>
          <t>OPEN -- semantic role recovered, concrete W not source-supported</t>
        </is>
      </c>
    </row>
    <row r="9">
      <c r="A9" s="24" t="inlineStr">
        <is>
          <t>THM-ARBS-GRAPH-BIPARTITE-001</t>
        </is>
      </c>
      <c r="B9" s="24" t="inlineStr">
        <is>
          <t>tilde_G_k SATISFIES TH-ARBS-001A (VERIFIED); uniqueness OPEN</t>
        </is>
      </c>
    </row>
    <row r="10">
      <c r="A10" s="24" t="inlineStr">
        <is>
          <t>THM-ARBS-GRAPH-DEPENDENCY-001</t>
        </is>
      </c>
      <c r="B10" s="24" t="inlineStr">
        <is>
          <t>tilde_G_k SATISFIES TH-ARBS-001B under natural orientation (VERIFIED); uniqueness OPEN</t>
        </is>
      </c>
    </row>
    <row r="11">
      <c r="A11" s="24" t="inlineStr">
        <is>
          <t>THM-ARBS-GRAPH-HYPERGRAPH-001</t>
        </is>
      </c>
      <c r="B11" s="24" t="inlineStr">
        <is>
          <t>OPEN -- no hypergraph-to-graph map found</t>
        </is>
      </c>
    </row>
    <row r="12">
      <c r="A12" s="24" t="inlineStr">
        <is>
          <t>THM-ARBS-GRAPH-LAPLACIAN-001</t>
        </is>
      </c>
      <c r="B12" s="24" t="inlineStr">
        <is>
          <t>L=D-A CERTIFIED as the general formula (BRIDGE B-001); ARBS-specific alternative NOT FOUND; applicability OPEN</t>
        </is>
      </c>
    </row>
    <row r="13">
      <c r="A13" s="24" t="inlineStr">
        <is>
          <t>THM-ARBS-GRAPH-REALIZATION-001</t>
        </is>
      </c>
      <c r="B13" s="24" t="inlineStr">
        <is>
          <t>OBSTRUCTION -- G_ARBS cannot be uniquely reconstructed from source</t>
        </is>
      </c>
    </row>
    <row r="14">
      <c r="A14" s="24" t="inlineStr">
        <is>
          <t>THM-ARBS-CHECKPOINT-ORIGIN-001</t>
        </is>
      </c>
      <c r="B14" s="24" t="inlineStr">
        <is>
          <t>CALCULATED/ASSESSED (blend of D and E); not provable to certainty</t>
        </is>
      </c>
    </row>
    <row r="15">
      <c r="A15" s="24" t="inlineStr">
        <is>
          <t>THM-ARBS-SPECTRAL-INHERITANCE-001</t>
        </is>
      </c>
      <c r="B15" s="24" t="inlineStr">
        <is>
          <t>NOT ATTEMPTED -- no G_ARBS/L_ARBS to compare against</t>
        </is>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60" customWidth="1" min="1" max="1"/>
    <col width="90" customWidth="1" min="2" max="2"/>
  </cols>
  <sheetData>
    <row r="1">
      <c r="A1" s="21" t="inlineStr">
        <is>
          <t>FALSIFICATION LEDGER</t>
        </is>
      </c>
    </row>
    <row r="2">
      <c r="A2" s="22" t="inlineStr"/>
    </row>
    <row r="5">
      <c r="A5" s="23" t="inlineStr">
        <is>
          <t>Claim tested</t>
        </is>
      </c>
      <c r="B5" s="23" t="inlineStr">
        <is>
          <t>Result</t>
        </is>
      </c>
    </row>
    <row r="6">
      <c r="A6" s="24" t="inlineStr">
        <is>
          <t>G=(V,E,W) is concretely defined anywhere in source</t>
        </is>
      </c>
      <c r="B6" s="24" t="inlineStr">
        <is>
          <t>FALSIFIED -- only semantic/schema-level definitions found</t>
        </is>
      </c>
    </row>
    <row r="7">
      <c r="A7" s="24" t="inlineStr">
        <is>
          <t>Graph_ARBS names a single canonical graph</t>
        </is>
      </c>
      <c r="B7" s="24" t="inlineStr">
        <is>
          <t>FALSIFIED -- it names a CATEGORY of admissible graphs (2 axioms)</t>
        </is>
      </c>
    </row>
    <row r="8">
      <c r="A8" s="24" t="inlineStr">
        <is>
          <t>The SIT Delta-&gt;G construction reproduces a bipartite-shell graph</t>
        </is>
      </c>
      <c r="B8" s="24" t="inlineStr">
        <is>
          <t>FALSIFIED, per the source's own explicit test ('converges to near-complete graph, not the claimed Recursive Bipartite Shell Graph')</t>
        </is>
      </c>
    </row>
    <row r="9">
      <c r="A9" s="24" t="inlineStr">
        <is>
          <t>tilde_G_k is an arbitrary, structurally unrelated graph</t>
        </is>
      </c>
      <c r="B9" s="24" t="inlineStr">
        <is>
          <t>FALSIFIED -- it satisfies both concrete ARBS admissibility axioms</t>
        </is>
      </c>
    </row>
    <row r="10">
      <c r="A10" s="24" t="inlineStr">
        <is>
          <t>tilde_G_k is proven identical/realization-equal to G_ARBS</t>
        </is>
      </c>
      <c r="B10" s="24" t="inlineStr">
        <is>
          <t>NOT ESTABLISHED (no G_ARBS exists to test against) -- distinct from 'falsified'</t>
        </is>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CORRECTED MDCL</t>
        </is>
      </c>
    </row>
    <row r="2">
      <c r="A2" s="22" t="inlineStr"/>
    </row>
    <row r="5" ht="160" customHeight="1">
      <c r="A5" s="24" t="inlineStr">
        <is>
          <t>Gamma &lt; ARBS &lt; ARBS shell 1 &lt; G_ARBS [OBSTRUCTION -- only a CATEGORY (Graph_ARBS, 2 admissibility axioms) is specified, not a unique graph] &lt; L_ARBS [OPEN] &lt; Spec(L_ARBS) [OPEN]
SEPARATELY (unchanged, fully valid):
tilde_G_k [ADMISSIBLE member of Graph_ARBS category, VERIFIED] &lt; tilde_L_k=D_k-A_k &lt; Spec(tilde_L_k) &lt; [everything computed in runs 1-9]
No proven realization map P: G_ARBS -&gt; tilde_G_k connects the two chains, because G_ARBS is not concretely specified for such a map's domain to even be defined.</t>
        </is>
      </c>
    </row>
  </sheetData>
  <mergeCells count="1">
    <mergeCell ref="A5:F5"/>
  </mergeCell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6" customWidth="1" min="1" max="1"/>
    <col width="100" customWidth="1" min="2" max="2"/>
  </cols>
  <sheetData>
    <row r="1">
      <c r="A1" s="21" t="inlineStr">
        <is>
          <t>CLOSURE MATRIX</t>
        </is>
      </c>
    </row>
    <row r="2">
      <c r="A2" s="22" t="inlineStr"/>
    </row>
    <row r="5">
      <c r="A5" s="23" t="inlineStr">
        <is>
          <t>Object</t>
        </is>
      </c>
      <c r="B5" s="23" t="inlineStr">
        <is>
          <t>Status</t>
        </is>
      </c>
    </row>
    <row r="6">
      <c r="A6" s="24" t="inlineStr">
        <is>
          <t>G_ARBS = (V,E,W) concrete instantiation</t>
        </is>
      </c>
      <c r="B6" s="24" t="inlineStr">
        <is>
          <t>OBSTRUCTION -- not source-supported</t>
        </is>
      </c>
    </row>
    <row r="7">
      <c r="A7" s="24" t="inlineStr">
        <is>
          <t>Graph_ARBS category + 2 admissibility axioms</t>
        </is>
      </c>
      <c r="B7" s="24" t="inlineStr">
        <is>
          <t>DERIVED / VERIFIED (documented, checkable)</t>
        </is>
      </c>
    </row>
    <row r="8">
      <c r="A8" s="24" t="inlineStr">
        <is>
          <t>tilde_G_k satisfies TH-ARBS-001A</t>
        </is>
      </c>
      <c r="B8" s="24" t="inlineStr">
        <is>
          <t>VERIFIED</t>
        </is>
      </c>
    </row>
    <row r="9">
      <c r="A9" s="24" t="inlineStr">
        <is>
          <t>tilde_G_k satisfies TH-ARBS-001B</t>
        </is>
      </c>
      <c r="B9" s="24" t="inlineStr">
        <is>
          <t>VERIFIED</t>
        </is>
      </c>
    </row>
    <row r="10">
      <c r="A10" s="24" t="inlineStr">
        <is>
          <t>tilde_G_k = G_ARBS (identity)</t>
        </is>
      </c>
      <c r="B10" s="24" t="inlineStr">
        <is>
          <t>NOT ESTABLISHED -- no target to compare against</t>
        </is>
      </c>
    </row>
    <row r="11">
      <c r="A11" s="24" t="inlineStr">
        <is>
          <t>SIT Delta-&gt;G alternative construction</t>
        </is>
      </c>
      <c r="B11" s="24" t="inlineStr">
        <is>
          <t>REVIEWED -- unfixed parameters, explicitly fails to reproduce bipartite-shell structure per source's own test</t>
        </is>
      </c>
    </row>
    <row r="12">
      <c r="A12" s="24" t="inlineStr">
        <is>
          <t>Checkpoint origin</t>
        </is>
      </c>
      <c r="B12" s="24" t="inlineStr">
        <is>
          <t>ASSESSED (blend of Outcomes D/E); not provable to certainty from available source</t>
        </is>
      </c>
    </row>
    <row r="13">
      <c r="A13" s="24" t="inlineStr">
        <is>
          <t>All runs 1-9 numerical results</t>
        </is>
      </c>
      <c r="B13" s="24" t="inlineStr">
        <is>
          <t>PRESERVED, VALID as tilde_G_k-level facts</t>
        </is>
      </c>
    </row>
    <row r="14">
      <c r="A14" s="24" t="inlineStr">
        <is>
          <t>sigma_k, Pi_0, G*, NCG, flavor, scale</t>
        </is>
      </c>
      <c r="B14" s="24" t="inlineStr">
        <is>
          <t>UNTOUCHED, per stop condition</t>
        </is>
      </c>
    </row>
    <row r="15">
      <c r="A15" s="24" t="inlineStr">
        <is>
          <t>PACKET-REFINEMENT-RECOVERY-001</t>
        </is>
      </c>
      <c r="B15" s="24" t="inlineStr">
        <is>
          <t>NOT ACTIVATED</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Recover, from admissible source material not yet located (or genuinely new derivation, not invention), a concrete instantiation of V, E, and W for ARBS shell 1's G node -- OR obtain independent, out-of-band documentation (e.g. project history predating the current source corpus) establishing the actual origin and provenance of the historical spectral checkpoints (sigma16, sigma17, t_H, ...) that this project has been reproducing since its first run. Neither is resolvable by further reading of the currently available 9-workbook + whitepaper corpus, which has now been searched exhaustively for this specific question across three consecutive runs (ARBS-ONTOLOGY-RECOVERY-001, this run, and the original construction-provenance search from run 2).</t>
        </is>
      </c>
    </row>
  </sheetData>
  <mergeCells count="1">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Universal Rosetta / UOC Research Program</dc:creator>
  <dc:title>Universal Rosetta Stone — Master Calculation Workbook v1.0</dc:title>
  <dc:subject>Complete source-registered equation, dependency, bridge, registry and calculation architecture</dc:subject>
  <dcterms:created xsi:type="dcterms:W3CDTF">2026-08-17T23:59:21Z</dcterms:created>
  <dcterms:modified xsi:type="dcterms:W3CDTF">2026-08-18T04:13:58Z</dcterms:modified>
</cp:coreProperties>
</file>